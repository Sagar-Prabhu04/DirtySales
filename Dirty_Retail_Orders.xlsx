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agar\Downloads\"/>
    </mc:Choice>
  </mc:AlternateContent>
  <xr:revisionPtr revIDLastSave="0" documentId="8_{638C3D09-79BA-4EF1-88CC-64EB16A5727C}" xr6:coauthVersionLast="47" xr6:coauthVersionMax="47" xr10:uidLastSave="{00000000-0000-0000-0000-000000000000}"/>
  <bookViews>
    <workbookView xWindow="-108" yWindow="-108" windowWidth="23256" windowHeight="13176" firstSheet="6" activeTab="10" xr2:uid="{00000000-000D-0000-FFFF-FFFF00000000}"/>
  </bookViews>
  <sheets>
    <sheet name="FinalAmt(Category)" sheetId="4" r:id="rId1"/>
    <sheet name="FinalAmt(City)" sheetId="5" r:id="rId2"/>
    <sheet name="FinalAmt(Salesperson)" sheetId="6" r:id="rId3"/>
    <sheet name="Mode of Payment" sheetId="7" r:id="rId4"/>
    <sheet name="FinalAmt(Month)" sheetId="8" r:id="rId5"/>
    <sheet name="DASHBOARD1" sheetId="11" r:id="rId6"/>
    <sheet name="DASHBOARD2" sheetId="9" r:id="rId7"/>
    <sheet name="Grand Total" sheetId="10" r:id="rId8"/>
    <sheet name="total count" sheetId="12" r:id="rId9"/>
    <sheet name="Avg_price" sheetId="13" r:id="rId10"/>
    <sheet name="clean_data" sheetId="2" r:id="rId11"/>
    <sheet name="Retail_Orders_Dirty(RawData)" sheetId="1" r:id="rId12"/>
  </sheets>
  <definedNames>
    <definedName name="Slicer_Category">#N/A</definedName>
    <definedName name="Slicer_City">#N/A</definedName>
    <definedName name="Slicer_month">#N/A</definedName>
    <definedName name="Slicer_Order_Status">#N/A</definedName>
    <definedName name="Slicer_Payment_Mode">#N/A</definedName>
    <definedName name="Slicer_Salespers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3" l="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M2" i="2"/>
  <c r="M3" i="2"/>
  <c r="N3" i="2" s="1"/>
  <c r="O3" i="2" s="1"/>
  <c r="M4" i="2"/>
  <c r="N4" i="2" s="1"/>
  <c r="O4" i="2" s="1"/>
  <c r="M5" i="2"/>
  <c r="N5" i="2" s="1"/>
  <c r="O5" i="2" s="1"/>
  <c r="M6" i="2"/>
  <c r="N6" i="2" s="1"/>
  <c r="O6" i="2" s="1"/>
  <c r="M7" i="2"/>
  <c r="N7" i="2" s="1"/>
  <c r="O7" i="2" s="1"/>
  <c r="M8" i="2"/>
  <c r="N8" i="2" s="1"/>
  <c r="O8" i="2" s="1"/>
  <c r="M9" i="2"/>
  <c r="N9" i="2" s="1"/>
  <c r="O9" i="2" s="1"/>
  <c r="M10" i="2"/>
  <c r="N10" i="2" s="1"/>
  <c r="O10" i="2" s="1"/>
  <c r="M11" i="2"/>
  <c r="N11" i="2" s="1"/>
  <c r="O11" i="2" s="1"/>
  <c r="M12" i="2"/>
  <c r="N12" i="2" s="1"/>
  <c r="O12" i="2" s="1"/>
  <c r="M13" i="2"/>
  <c r="N13" i="2" s="1"/>
  <c r="O13" i="2" s="1"/>
  <c r="M14" i="2"/>
  <c r="N14" i="2" s="1"/>
  <c r="O14" i="2" s="1"/>
  <c r="M15" i="2"/>
  <c r="N15" i="2" s="1"/>
  <c r="O15" i="2" s="1"/>
  <c r="M16" i="2"/>
  <c r="N16" i="2" s="1"/>
  <c r="O16" i="2" s="1"/>
  <c r="M17" i="2"/>
  <c r="N17" i="2" s="1"/>
  <c r="O17" i="2" s="1"/>
  <c r="M18" i="2"/>
  <c r="N18" i="2" s="1"/>
  <c r="O18" i="2" s="1"/>
  <c r="M19" i="2"/>
  <c r="N19" i="2" s="1"/>
  <c r="O19" i="2" s="1"/>
  <c r="M20" i="2"/>
  <c r="N20" i="2" s="1"/>
  <c r="O20" i="2" s="1"/>
  <c r="M21" i="2"/>
  <c r="N21" i="2" s="1"/>
  <c r="O21" i="2" s="1"/>
  <c r="M22" i="2"/>
  <c r="N22" i="2" s="1"/>
  <c r="O22" i="2" s="1"/>
  <c r="M23" i="2"/>
  <c r="N23" i="2" s="1"/>
  <c r="O23" i="2" s="1"/>
  <c r="M24" i="2"/>
  <c r="N24" i="2" s="1"/>
  <c r="O24" i="2" s="1"/>
  <c r="M25" i="2"/>
  <c r="N25" i="2" s="1"/>
  <c r="O25" i="2" s="1"/>
  <c r="M26" i="2"/>
  <c r="N26" i="2" s="1"/>
  <c r="O26" i="2" s="1"/>
  <c r="M27" i="2"/>
  <c r="N27" i="2" s="1"/>
  <c r="O27" i="2" s="1"/>
  <c r="M28" i="2"/>
  <c r="N28" i="2" s="1"/>
  <c r="O28" i="2" s="1"/>
  <c r="M29" i="2"/>
  <c r="N29" i="2" s="1"/>
  <c r="O29" i="2" s="1"/>
  <c r="M30" i="2"/>
  <c r="N30" i="2" s="1"/>
  <c r="O30" i="2" s="1"/>
  <c r="M31" i="2"/>
  <c r="N31" i="2" s="1"/>
  <c r="O31" i="2" s="1"/>
  <c r="M32" i="2"/>
  <c r="N32" i="2" s="1"/>
  <c r="O32" i="2" s="1"/>
  <c r="M33" i="2"/>
  <c r="N33" i="2" s="1"/>
  <c r="O33" i="2" s="1"/>
  <c r="M34" i="2"/>
  <c r="N34" i="2" s="1"/>
  <c r="O34" i="2" s="1"/>
  <c r="M35" i="2"/>
  <c r="N35" i="2" s="1"/>
  <c r="O35" i="2" s="1"/>
  <c r="M36" i="2"/>
  <c r="N36" i="2" s="1"/>
  <c r="O36" i="2" s="1"/>
  <c r="M37" i="2"/>
  <c r="N37" i="2" s="1"/>
  <c r="O37" i="2" s="1"/>
  <c r="M38" i="2"/>
  <c r="N38" i="2" s="1"/>
  <c r="O38" i="2" s="1"/>
  <c r="M39" i="2"/>
  <c r="M40" i="2"/>
  <c r="N40" i="2" s="1"/>
  <c r="O40" i="2" s="1"/>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D11" i="10"/>
  <c r="B11" i="10"/>
  <c r="I23" i="5"/>
  <c r="N2" i="2" l="1"/>
  <c r="O2" i="2"/>
  <c r="N39" i="2"/>
  <c r="O39" i="2" s="1"/>
  <c r="N41" i="2"/>
  <c r="O41" i="2" s="1"/>
  <c r="N42" i="2"/>
  <c r="O42" i="2" s="1"/>
  <c r="N43" i="2"/>
  <c r="O43" i="2" s="1"/>
  <c r="N44" i="2"/>
  <c r="O44" i="2" s="1"/>
  <c r="N45" i="2"/>
  <c r="O45" i="2" s="1"/>
  <c r="N46" i="2"/>
  <c r="O46" i="2" s="1"/>
  <c r="N47" i="2"/>
  <c r="O47" i="2" s="1"/>
  <c r="N48" i="2"/>
  <c r="O48" i="2" s="1"/>
  <c r="N49" i="2"/>
  <c r="O49" i="2" s="1"/>
  <c r="N50" i="2"/>
  <c r="O50" i="2" s="1"/>
  <c r="N51" i="2"/>
  <c r="O51" i="2" s="1"/>
  <c r="N52" i="2"/>
  <c r="O52" i="2"/>
  <c r="N53" i="2"/>
  <c r="O53" i="2" s="1"/>
  <c r="N54" i="2"/>
  <c r="O54" i="2"/>
  <c r="N55" i="2"/>
  <c r="O55" i="2"/>
  <c r="N56" i="2"/>
  <c r="O56" i="2" s="1"/>
  <c r="N57" i="2"/>
  <c r="O57" i="2" s="1"/>
  <c r="N58" i="2"/>
  <c r="O58" i="2"/>
  <c r="N59" i="2"/>
  <c r="O59" i="2"/>
  <c r="N60" i="2"/>
  <c r="O60" i="2" s="1"/>
  <c r="N61" i="2"/>
  <c r="O61" i="2" s="1"/>
  <c r="N62" i="2"/>
  <c r="O62" i="2" s="1"/>
  <c r="N63" i="2"/>
  <c r="O63" i="2"/>
  <c r="N64" i="2"/>
  <c r="O64" i="2"/>
  <c r="N65" i="2"/>
  <c r="O65" i="2" s="1"/>
  <c r="N66" i="2"/>
  <c r="O66" i="2" s="1"/>
  <c r="N67" i="2"/>
  <c r="O67" i="2" s="1"/>
  <c r="N68" i="2"/>
  <c r="O68" i="2" s="1"/>
  <c r="N69" i="2"/>
  <c r="O69" i="2" s="1"/>
  <c r="N70" i="2"/>
  <c r="O70" i="2"/>
  <c r="N71" i="2"/>
  <c r="O71" i="2" s="1"/>
  <c r="N72" i="2"/>
  <c r="O72" i="2" s="1"/>
  <c r="N73" i="2"/>
  <c r="O73" i="2" s="1"/>
  <c r="N74" i="2"/>
  <c r="O74" i="2" s="1"/>
  <c r="N75" i="2"/>
  <c r="O75" i="2" s="1"/>
  <c r="N76" i="2"/>
  <c r="O76" i="2" s="1"/>
  <c r="N77" i="2"/>
  <c r="O77" i="2" s="1"/>
  <c r="N78" i="2"/>
  <c r="O78" i="2" s="1"/>
  <c r="N79" i="2"/>
  <c r="O79" i="2" s="1"/>
  <c r="N80" i="2"/>
  <c r="O80" i="2" s="1"/>
  <c r="N81" i="2"/>
  <c r="O81" i="2" s="1"/>
  <c r="N82" i="2"/>
  <c r="O82" i="2" s="1"/>
  <c r="N83" i="2"/>
  <c r="O83" i="2" s="1"/>
  <c r="N84" i="2"/>
  <c r="O84" i="2" s="1"/>
  <c r="N85" i="2"/>
  <c r="O85" i="2" s="1"/>
  <c r="N86" i="2"/>
  <c r="O86" i="2" s="1"/>
  <c r="N87" i="2"/>
  <c r="O87" i="2" s="1"/>
  <c r="N88" i="2"/>
  <c r="O88" i="2"/>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N102" i="2"/>
  <c r="O102" i="2"/>
  <c r="N103" i="2"/>
  <c r="O103" i="2"/>
  <c r="N104" i="2"/>
  <c r="O104" i="2" s="1"/>
  <c r="N105" i="2"/>
  <c r="O105" i="2" s="1"/>
  <c r="N106" i="2"/>
  <c r="O106" i="2"/>
  <c r="N107" i="2"/>
  <c r="O107" i="2"/>
  <c r="N108" i="2"/>
  <c r="O108" i="2" s="1"/>
  <c r="N109" i="2"/>
  <c r="O109" i="2"/>
  <c r="N110" i="2"/>
  <c r="O110" i="2"/>
  <c r="N111" i="2"/>
  <c r="O111" i="2"/>
  <c r="N112" i="2"/>
  <c r="O112" i="2"/>
  <c r="N113" i="2"/>
  <c r="O113" i="2"/>
  <c r="N114" i="2"/>
  <c r="O114" i="2"/>
  <c r="N115" i="2"/>
  <c r="O115" i="2"/>
  <c r="N116" i="2"/>
  <c r="O116" i="2"/>
  <c r="N117" i="2"/>
  <c r="O117" i="2"/>
  <c r="N118" i="2"/>
  <c r="O118" i="2"/>
  <c r="N119" i="2"/>
  <c r="O119" i="2" s="1"/>
  <c r="N120" i="2"/>
  <c r="O120" i="2" s="1"/>
  <c r="N121" i="2"/>
  <c r="O121" i="2" s="1"/>
  <c r="N122" i="2"/>
  <c r="O122" i="2" s="1"/>
  <c r="N123" i="2"/>
  <c r="O123" i="2"/>
  <c r="N124" i="2"/>
  <c r="O124" i="2"/>
  <c r="N125" i="2"/>
  <c r="O125" i="2"/>
  <c r="N126" i="2"/>
  <c r="O126" i="2"/>
  <c r="N127" i="2"/>
  <c r="O127" i="2" s="1"/>
  <c r="N128" i="2"/>
  <c r="O128" i="2"/>
  <c r="N129" i="2"/>
  <c r="O129" i="2" s="1"/>
  <c r="N130" i="2"/>
  <c r="O130" i="2" s="1"/>
  <c r="N131" i="2"/>
  <c r="O131" i="2" s="1"/>
  <c r="N132" i="2"/>
  <c r="O132" i="2" s="1"/>
  <c r="N133" i="2"/>
  <c r="O133" i="2" s="1"/>
  <c r="N134" i="2"/>
  <c r="O134" i="2" s="1"/>
  <c r="N135" i="2"/>
  <c r="O135" i="2" s="1"/>
  <c r="N136" i="2"/>
  <c r="O136" i="2" s="1"/>
  <c r="N137" i="2"/>
  <c r="O137" i="2" s="1"/>
  <c r="N138" i="2"/>
  <c r="O138" i="2" s="1"/>
  <c r="N139" i="2"/>
  <c r="O139" i="2" s="1"/>
  <c r="N140" i="2"/>
  <c r="O140" i="2" s="1"/>
  <c r="N141" i="2"/>
  <c r="O141" i="2" s="1"/>
  <c r="N142" i="2"/>
  <c r="O142" i="2" s="1"/>
  <c r="N143" i="2"/>
  <c r="O143" i="2" s="1"/>
  <c r="N144" i="2"/>
  <c r="O144" i="2" s="1"/>
  <c r="N145" i="2"/>
  <c r="O145" i="2" s="1"/>
  <c r="N146" i="2"/>
  <c r="O146" i="2" s="1"/>
  <c r="N147" i="2"/>
  <c r="O147" i="2" s="1"/>
  <c r="N148" i="2"/>
  <c r="O148" i="2" s="1"/>
  <c r="N149" i="2"/>
  <c r="O149" i="2" s="1"/>
  <c r="N150" i="2"/>
  <c r="O150" i="2" s="1"/>
  <c r="N151" i="2"/>
  <c r="O151" i="2" s="1"/>
  <c r="N152" i="2"/>
  <c r="O152" i="2"/>
  <c r="N153" i="2"/>
  <c r="O153" i="2"/>
  <c r="N154" i="2"/>
  <c r="O154" i="2"/>
  <c r="N155" i="2"/>
  <c r="O155" i="2"/>
  <c r="N156" i="2"/>
  <c r="O156" i="2"/>
  <c r="N157" i="2"/>
  <c r="O157" i="2" s="1"/>
  <c r="N158" i="2"/>
  <c r="O158" i="2"/>
  <c r="N159" i="2"/>
  <c r="O159" i="2"/>
  <c r="N160" i="2"/>
  <c r="O160" i="2"/>
  <c r="N161" i="2"/>
  <c r="O161" i="2"/>
  <c r="N162" i="2"/>
  <c r="O162" i="2"/>
  <c r="N163" i="2"/>
  <c r="O163" i="2"/>
  <c r="N164" i="2"/>
  <c r="O164" i="2"/>
  <c r="N165" i="2"/>
  <c r="O165" i="2"/>
  <c r="N166" i="2"/>
  <c r="O166" i="2"/>
  <c r="N167" i="2"/>
  <c r="O167" i="2"/>
  <c r="N168" i="2"/>
  <c r="O168" i="2" s="1"/>
  <c r="N169" i="2"/>
  <c r="O169" i="2" s="1"/>
  <c r="N170" i="2"/>
  <c r="O170" i="2" s="1"/>
  <c r="N171" i="2"/>
  <c r="O171" i="2" s="1"/>
  <c r="N172" i="2"/>
  <c r="O172" i="2" s="1"/>
  <c r="N173" i="2"/>
  <c r="O173" i="2"/>
  <c r="N174" i="2"/>
  <c r="O174" i="2"/>
  <c r="N175" i="2"/>
  <c r="O175" i="2"/>
  <c r="N176" i="2"/>
  <c r="O176" i="2" s="1"/>
  <c r="N177" i="2"/>
  <c r="O177" i="2" s="1"/>
  <c r="N178" i="2"/>
  <c r="O178" i="2" s="1"/>
  <c r="N179" i="2"/>
  <c r="O179" i="2" s="1"/>
  <c r="N180" i="2"/>
  <c r="O180" i="2"/>
  <c r="N181" i="2"/>
  <c r="O181" i="2"/>
  <c r="N182" i="2"/>
  <c r="O182" i="2"/>
  <c r="N183" i="2"/>
  <c r="O183" i="2" s="1"/>
  <c r="N184" i="2"/>
  <c r="O184" i="2"/>
  <c r="N185" i="2"/>
  <c r="O185" i="2"/>
  <c r="N186" i="2"/>
  <c r="O186" i="2" s="1"/>
  <c r="N187" i="2"/>
  <c r="O187" i="2" s="1"/>
  <c r="N188" i="2"/>
  <c r="O188" i="2"/>
  <c r="N189" i="2"/>
  <c r="O189" i="2" s="1"/>
  <c r="N190" i="2"/>
  <c r="O190" i="2"/>
  <c r="N191" i="2"/>
  <c r="O191" i="2"/>
  <c r="N192" i="2"/>
  <c r="O192" i="2" s="1"/>
  <c r="N193" i="2"/>
  <c r="O193" i="2" s="1"/>
  <c r="N194" i="2"/>
  <c r="O194" i="2"/>
  <c r="N195" i="2"/>
  <c r="O195" i="2"/>
  <c r="N196" i="2"/>
  <c r="O196" i="2" s="1"/>
  <c r="N197" i="2"/>
  <c r="O197" i="2"/>
  <c r="N198" i="2"/>
  <c r="O198" i="2"/>
  <c r="N199" i="2"/>
  <c r="O199" i="2" s="1"/>
  <c r="N200" i="2"/>
  <c r="O200" i="2"/>
  <c r="N201" i="2"/>
  <c r="O201" i="2"/>
  <c r="N202" i="2"/>
  <c r="O202" i="2"/>
  <c r="N203" i="2"/>
  <c r="O203" i="2"/>
  <c r="N204" i="2"/>
  <c r="O204" i="2"/>
  <c r="N205" i="2"/>
  <c r="O205" i="2"/>
  <c r="N206" i="2"/>
  <c r="O206" i="2"/>
  <c r="N207" i="2"/>
  <c r="O207" i="2" s="1"/>
  <c r="N208" i="2"/>
  <c r="O208" i="2"/>
  <c r="N209" i="2"/>
  <c r="O209" i="2"/>
  <c r="N210" i="2"/>
  <c r="O210" i="2"/>
  <c r="N211" i="2"/>
  <c r="O211" i="2"/>
  <c r="N212" i="2"/>
  <c r="O212" i="2" s="1"/>
  <c r="N213" i="2"/>
  <c r="O213" i="2"/>
  <c r="N214" i="2"/>
  <c r="O214" i="2"/>
  <c r="N215" i="2"/>
  <c r="O215" i="2"/>
  <c r="N216" i="2"/>
  <c r="O216" i="2" s="1"/>
  <c r="N217" i="2"/>
  <c r="O217" i="2"/>
  <c r="N218" i="2"/>
  <c r="O218" i="2"/>
  <c r="N219" i="2"/>
  <c r="O219" i="2" s="1"/>
  <c r="N220" i="2"/>
  <c r="O220" i="2"/>
  <c r="N221" i="2"/>
  <c r="O221" i="2"/>
  <c r="N222" i="2"/>
  <c r="O222" i="2"/>
  <c r="N223" i="2"/>
  <c r="O223" i="2" s="1"/>
  <c r="N224" i="2"/>
  <c r="O224" i="2"/>
  <c r="N225" i="2"/>
  <c r="O225" i="2"/>
  <c r="N226" i="2"/>
  <c r="O226" i="2" s="1"/>
  <c r="N227" i="2"/>
  <c r="O227" i="2" s="1"/>
  <c r="N228" i="2"/>
  <c r="O228" i="2"/>
  <c r="N229" i="2"/>
  <c r="O229" i="2"/>
  <c r="N230" i="2"/>
  <c r="O230" i="2" s="1"/>
  <c r="N231" i="2"/>
  <c r="O231" i="2" s="1"/>
  <c r="N232" i="2"/>
  <c r="O232" i="2"/>
  <c r="N233" i="2"/>
  <c r="O233" i="2"/>
  <c r="N234" i="2"/>
  <c r="O234" i="2"/>
  <c r="N235" i="2"/>
  <c r="O235" i="2"/>
  <c r="N236" i="2"/>
  <c r="O236" i="2" s="1"/>
  <c r="N237" i="2"/>
  <c r="O237" i="2"/>
  <c r="N238" i="2"/>
  <c r="O238" i="2"/>
  <c r="N239" i="2"/>
  <c r="O239" i="2" s="1"/>
  <c r="N240" i="2"/>
  <c r="O240" i="2"/>
  <c r="N241" i="2"/>
  <c r="O241" i="2"/>
  <c r="N242" i="2"/>
  <c r="O242" i="2"/>
  <c r="N243" i="2"/>
  <c r="O243" i="2"/>
  <c r="N244" i="2"/>
  <c r="O244" i="2" s="1"/>
  <c r="N245" i="2"/>
  <c r="O245" i="2" s="1"/>
  <c r="N246" i="2"/>
  <c r="O246" i="2"/>
  <c r="N247" i="2"/>
  <c r="O247" i="2"/>
  <c r="N248" i="2"/>
  <c r="O248" i="2" s="1"/>
  <c r="N249" i="2"/>
  <c r="O249" i="2"/>
  <c r="N250" i="2"/>
  <c r="O250" i="2"/>
  <c r="N251" i="2"/>
  <c r="O251" i="2"/>
  <c r="N252" i="2"/>
  <c r="O252" i="2" s="1"/>
  <c r="N253" i="2"/>
  <c r="O253" i="2"/>
  <c r="N254" i="2"/>
  <c r="O254" i="2" s="1"/>
  <c r="N255" i="2"/>
  <c r="O255" i="2"/>
  <c r="N256" i="2"/>
  <c r="O256" i="2"/>
  <c r="N257" i="2"/>
  <c r="O257" i="2"/>
  <c r="N258" i="2"/>
  <c r="O258" i="2"/>
  <c r="N259" i="2"/>
  <c r="O259" i="2" s="1"/>
  <c r="N260" i="2"/>
  <c r="O260" i="2"/>
  <c r="N261" i="2"/>
  <c r="O261" i="2"/>
  <c r="N262" i="2"/>
  <c r="O262" i="2"/>
  <c r="N263" i="2"/>
  <c r="O263" i="2" s="1"/>
  <c r="N264" i="2"/>
  <c r="O264" i="2"/>
  <c r="N265" i="2"/>
  <c r="O265" i="2"/>
  <c r="N266" i="2"/>
  <c r="O266" i="2" s="1"/>
  <c r="N267" i="2"/>
  <c r="O267" i="2"/>
  <c r="N268" i="2"/>
  <c r="O268" i="2"/>
  <c r="N269" i="2"/>
  <c r="O269" i="2"/>
  <c r="N270" i="2"/>
  <c r="O270" i="2"/>
  <c r="N271" i="2"/>
  <c r="O271" i="2"/>
  <c r="N272" i="2"/>
  <c r="O272" i="2"/>
  <c r="N273" i="2"/>
  <c r="O273" i="2"/>
  <c r="N274" i="2"/>
  <c r="O274" i="2"/>
  <c r="N275" i="2"/>
  <c r="O275" i="2"/>
  <c r="N276" i="2"/>
  <c r="O276" i="2"/>
  <c r="N277" i="2"/>
  <c r="O277" i="2"/>
  <c r="N278" i="2"/>
  <c r="O278" i="2"/>
  <c r="N279" i="2"/>
  <c r="O279" i="2"/>
  <c r="N280" i="2"/>
  <c r="O280" i="2"/>
  <c r="N281" i="2"/>
  <c r="O281" i="2"/>
  <c r="N282" i="2"/>
  <c r="O282" i="2"/>
  <c r="N283" i="2"/>
  <c r="O283" i="2"/>
  <c r="N284" i="2"/>
  <c r="O284" i="2"/>
  <c r="N285" i="2"/>
  <c r="O285" i="2"/>
  <c r="N286" i="2"/>
  <c r="O286" i="2"/>
  <c r="N287" i="2"/>
  <c r="O287" i="2"/>
  <c r="N288" i="2"/>
  <c r="O288" i="2"/>
  <c r="N289" i="2"/>
  <c r="O289" i="2"/>
  <c r="N290" i="2"/>
  <c r="O290" i="2"/>
  <c r="N291" i="2"/>
  <c r="O291" i="2"/>
  <c r="N292" i="2"/>
  <c r="O292" i="2"/>
  <c r="N293" i="2"/>
  <c r="O293" i="2"/>
  <c r="N294" i="2"/>
  <c r="O294" i="2"/>
  <c r="N295" i="2"/>
  <c r="O295" i="2"/>
  <c r="N296" i="2"/>
  <c r="O296" i="2"/>
  <c r="N297" i="2"/>
  <c r="O297" i="2"/>
  <c r="N298" i="2"/>
  <c r="O298" i="2"/>
  <c r="N299" i="2"/>
  <c r="O299" i="2"/>
  <c r="N300" i="2"/>
  <c r="O300" i="2"/>
  <c r="N301" i="2"/>
  <c r="O301" i="2"/>
</calcChain>
</file>

<file path=xl/sharedStrings.xml><?xml version="1.0" encoding="utf-8"?>
<sst xmlns="http://schemas.openxmlformats.org/spreadsheetml/2006/main" count="4880" uniqueCount="275">
  <si>
    <t>Order_ID</t>
  </si>
  <si>
    <t>Order_Date</t>
  </si>
  <si>
    <t>Customer</t>
  </si>
  <si>
    <t>City</t>
  </si>
  <si>
    <t>Category</t>
  </si>
  <si>
    <t>Product</t>
  </si>
  <si>
    <t>Quantity</t>
  </si>
  <si>
    <t>Unit_Price</t>
  </si>
  <si>
    <t>Discount</t>
  </si>
  <si>
    <t>Salesperson</t>
  </si>
  <si>
    <t>Payment_Mode</t>
  </si>
  <si>
    <t>Order_Status</t>
  </si>
  <si>
    <t>12-07-2023</t>
  </si>
  <si>
    <t>Henry</t>
  </si>
  <si>
    <t>Hyderabad</t>
  </si>
  <si>
    <t>Electronics</t>
  </si>
  <si>
    <t>Laptop</t>
  </si>
  <si>
    <t>John</t>
  </si>
  <si>
    <t>Card</t>
  </si>
  <si>
    <t>Pending</t>
  </si>
  <si>
    <t>20-03-2023</t>
  </si>
  <si>
    <t>David</t>
  </si>
  <si>
    <t>Delhi</t>
  </si>
  <si>
    <t>Keyboard</t>
  </si>
  <si>
    <t>Amit</t>
  </si>
  <si>
    <t>07-11-2023</t>
  </si>
  <si>
    <t xml:space="preserve"> alice </t>
  </si>
  <si>
    <t>Furniture</t>
  </si>
  <si>
    <t>Sneha</t>
  </si>
  <si>
    <t>UPI</t>
  </si>
  <si>
    <t>Delivered</t>
  </si>
  <si>
    <t>19-03-2023</t>
  </si>
  <si>
    <t>Charlie</t>
  </si>
  <si>
    <t>Mumbai</t>
  </si>
  <si>
    <t>Office Supplies</t>
  </si>
  <si>
    <t>Printer</t>
  </si>
  <si>
    <t>11-03-2023</t>
  </si>
  <si>
    <t>Bangalore</t>
  </si>
  <si>
    <t>Desk</t>
  </si>
  <si>
    <t>Priya</t>
  </si>
  <si>
    <t>Cash</t>
  </si>
  <si>
    <t>01-01-2024</t>
  </si>
  <si>
    <t>Alice</t>
  </si>
  <si>
    <t>Bengaluru</t>
  </si>
  <si>
    <t>Chair</t>
  </si>
  <si>
    <t>09-08-2023</t>
  </si>
  <si>
    <t>Emma</t>
  </si>
  <si>
    <t>Chennai</t>
  </si>
  <si>
    <t>Cancelled</t>
  </si>
  <si>
    <t>26-02-2023</t>
  </si>
  <si>
    <t>23-01-2023</t>
  </si>
  <si>
    <t>19-01-2023</t>
  </si>
  <si>
    <t>Bob</t>
  </si>
  <si>
    <t>27-11-2023</t>
  </si>
  <si>
    <t>Grace</t>
  </si>
  <si>
    <t>18-06-2023</t>
  </si>
  <si>
    <t>11-04-2023</t>
  </si>
  <si>
    <t>23-11-2023</t>
  </si>
  <si>
    <t>13-06-2023</t>
  </si>
  <si>
    <t>24-07-2023</t>
  </si>
  <si>
    <t>₹2500</t>
  </si>
  <si>
    <t>12-02-2023</t>
  </si>
  <si>
    <t>Monitor</t>
  </si>
  <si>
    <t>07-06-2023</t>
  </si>
  <si>
    <t>10-04-2023</t>
  </si>
  <si>
    <t>Frank</t>
  </si>
  <si>
    <t>04-01-2023</t>
  </si>
  <si>
    <t>25-12-2023</t>
  </si>
  <si>
    <t>21-09-2023</t>
  </si>
  <si>
    <t>29-10-2023</t>
  </si>
  <si>
    <t>25-06-2023</t>
  </si>
  <si>
    <t>2023/15/01</t>
  </si>
  <si>
    <t>01-09-2023</t>
  </si>
  <si>
    <t>13-12-2023</t>
  </si>
  <si>
    <t>14-02-2023</t>
  </si>
  <si>
    <t>25-01-2023</t>
  </si>
  <si>
    <t>08-04-2023</t>
  </si>
  <si>
    <t>24-11-2023</t>
  </si>
  <si>
    <t>10-12-2023</t>
  </si>
  <si>
    <t>19-11-2023</t>
  </si>
  <si>
    <t>card</t>
  </si>
  <si>
    <t>30-01-2023</t>
  </si>
  <si>
    <t>14-08-2023</t>
  </si>
  <si>
    <t>10-06-2023</t>
  </si>
  <si>
    <t>26-08-2023</t>
  </si>
  <si>
    <t>deliverd</t>
  </si>
  <si>
    <t>14-04-2023</t>
  </si>
  <si>
    <t>29-12-2023</t>
  </si>
  <si>
    <t>07-05-2023</t>
  </si>
  <si>
    <t>15-02-2023</t>
  </si>
  <si>
    <t>30-06-2023</t>
  </si>
  <si>
    <t>27-08-2023</t>
  </si>
  <si>
    <t>05-09-2023</t>
  </si>
  <si>
    <t>16-03-2023</t>
  </si>
  <si>
    <t>10-08-2023</t>
  </si>
  <si>
    <t>23-04-2023</t>
  </si>
  <si>
    <t>30-07-2023</t>
  </si>
  <si>
    <t>09-03-2023</t>
  </si>
  <si>
    <t>27-07-2023</t>
  </si>
  <si>
    <t>03-06-2023</t>
  </si>
  <si>
    <t>07-01-2023</t>
  </si>
  <si>
    <t>01-08-2023</t>
  </si>
  <si>
    <t>22-11-2023</t>
  </si>
  <si>
    <t>1,250.50</t>
  </si>
  <si>
    <t>23-10-2023</t>
  </si>
  <si>
    <t>27-06-2023</t>
  </si>
  <si>
    <t>04-07-2023</t>
  </si>
  <si>
    <t>04-12-2023</t>
  </si>
  <si>
    <t>09-04-2023</t>
  </si>
  <si>
    <t>16-06-2023</t>
  </si>
  <si>
    <t>11-11-2023</t>
  </si>
  <si>
    <t>24-03-2023</t>
  </si>
  <si>
    <t>13-02-2023</t>
  </si>
  <si>
    <t>electronics</t>
  </si>
  <si>
    <t>02-08-2023</t>
  </si>
  <si>
    <t>21-01-2023</t>
  </si>
  <si>
    <t>12-04-2023</t>
  </si>
  <si>
    <t>06-12-2023</t>
  </si>
  <si>
    <t>01-10-2023</t>
  </si>
  <si>
    <t>28-03-2023</t>
  </si>
  <si>
    <t>17-02-2023</t>
  </si>
  <si>
    <t>26-05-2023</t>
  </si>
  <si>
    <t>07-08-2023</t>
  </si>
  <si>
    <t>24-01-2023</t>
  </si>
  <si>
    <t>18-01-2023</t>
  </si>
  <si>
    <t>30-04-2023</t>
  </si>
  <si>
    <t>13-09-2023</t>
  </si>
  <si>
    <t>10-10-2023</t>
  </si>
  <si>
    <t>09-07-2023</t>
  </si>
  <si>
    <t>01-06-2023</t>
  </si>
  <si>
    <t>04-09-2023</t>
  </si>
  <si>
    <t>17-07-2023</t>
  </si>
  <si>
    <t>03-04-2023</t>
  </si>
  <si>
    <t>15-05-2023</t>
  </si>
  <si>
    <t>22-07-2023</t>
  </si>
  <si>
    <t>31-03-2023</t>
  </si>
  <si>
    <t>16-04-2023</t>
  </si>
  <si>
    <t>10-07-2023</t>
  </si>
  <si>
    <t>31-12-2023</t>
  </si>
  <si>
    <t>29-04-2023</t>
  </si>
  <si>
    <t>11-07-2023</t>
  </si>
  <si>
    <t>24-08-2023</t>
  </si>
  <si>
    <t>28-01-2023</t>
  </si>
  <si>
    <t>26-12-2023</t>
  </si>
  <si>
    <t>01-03-2023</t>
  </si>
  <si>
    <t>29-01-2023</t>
  </si>
  <si>
    <t>03-11-2023</t>
  </si>
  <si>
    <t>15-12-2023</t>
  </si>
  <si>
    <t>23-06-2023</t>
  </si>
  <si>
    <t>30-08-2023</t>
  </si>
  <si>
    <t>16-08-2023</t>
  </si>
  <si>
    <t>09-02-2023</t>
  </si>
  <si>
    <t>02-06-2023</t>
  </si>
  <si>
    <t>22-09-2023</t>
  </si>
  <si>
    <t>02-12-2023</t>
  </si>
  <si>
    <t>08-02-2023</t>
  </si>
  <si>
    <t>22-08-2023</t>
  </si>
  <si>
    <t>31-10-2023</t>
  </si>
  <si>
    <t>08-11-2023</t>
  </si>
  <si>
    <t>17-12-2023</t>
  </si>
  <si>
    <t>25-07-2023</t>
  </si>
  <si>
    <t>18-08-2023</t>
  </si>
  <si>
    <t>04-02-2023</t>
  </si>
  <si>
    <t>17-09-2023</t>
  </si>
  <si>
    <t>16-09-2023</t>
  </si>
  <si>
    <t>01-04-2023</t>
  </si>
  <si>
    <t>17-04-2023</t>
  </si>
  <si>
    <t>30-12-2023</t>
  </si>
  <si>
    <t>03-02-2023</t>
  </si>
  <si>
    <t>12-06-2023</t>
  </si>
  <si>
    <t>22-06-2023</t>
  </si>
  <si>
    <t>18-02-2023</t>
  </si>
  <si>
    <t>18-03-2023</t>
  </si>
  <si>
    <t>13-11-2023</t>
  </si>
  <si>
    <t>08-07-2023</t>
  </si>
  <si>
    <t>16-05-2023</t>
  </si>
  <si>
    <t>14-06-2023</t>
  </si>
  <si>
    <t>17-01-2023</t>
  </si>
  <si>
    <t>29-08-2023</t>
  </si>
  <si>
    <t>12-03-2023</t>
  </si>
  <si>
    <t>03-10-2023</t>
  </si>
  <si>
    <t>09-10-2023</t>
  </si>
  <si>
    <t>21-10-2023</t>
  </si>
  <si>
    <t>31-07-2023</t>
  </si>
  <si>
    <t>30-11-2023</t>
  </si>
  <si>
    <t>26-03-2023</t>
  </si>
  <si>
    <t>24-12-2023</t>
  </si>
  <si>
    <t>03-09-2023</t>
  </si>
  <si>
    <t>14-10-2023</t>
  </si>
  <si>
    <t>14-01-2023</t>
  </si>
  <si>
    <t>25-11-2023</t>
  </si>
  <si>
    <t>13-01-2023</t>
  </si>
  <si>
    <t>12-01-2023</t>
  </si>
  <si>
    <t>15-11-2023</t>
  </si>
  <si>
    <t>28-08-2023</t>
  </si>
  <si>
    <t>29-09-2023</t>
  </si>
  <si>
    <t>24-06-2023</t>
  </si>
  <si>
    <t>05-05-2023</t>
  </si>
  <si>
    <t>20-05-2023</t>
  </si>
  <si>
    <t>05-02-2023</t>
  </si>
  <si>
    <t>19-08-2023</t>
  </si>
  <si>
    <t>27-12-2023</t>
  </si>
  <si>
    <t>23-03-2023</t>
  </si>
  <si>
    <t>16-01-2023</t>
  </si>
  <si>
    <t>28-02-2023</t>
  </si>
  <si>
    <t>13-05-2023</t>
  </si>
  <si>
    <t>02-09-2023</t>
  </si>
  <si>
    <t>21-03-2023</t>
  </si>
  <si>
    <t>20-08-2023</t>
  </si>
  <si>
    <t>24-05-2023</t>
  </si>
  <si>
    <t>19-07-2023</t>
  </si>
  <si>
    <t>18-10-2023</t>
  </si>
  <si>
    <t>19-06-2023</t>
  </si>
  <si>
    <t>25-09-2023</t>
  </si>
  <si>
    <t>15-09-2023</t>
  </si>
  <si>
    <t>04-10-2023</t>
  </si>
  <si>
    <t>08-10-2023</t>
  </si>
  <si>
    <t>31-01-2023</t>
  </si>
  <si>
    <t>16-02-2023</t>
  </si>
  <si>
    <t>19-12-2023</t>
  </si>
  <si>
    <t>04-06-2023</t>
  </si>
  <si>
    <t>15-06-2023</t>
  </si>
  <si>
    <t>16-12-2023</t>
  </si>
  <si>
    <t>27-10-2023</t>
  </si>
  <si>
    <t>17-08-2023</t>
  </si>
  <si>
    <t>03-03-2023</t>
  </si>
  <si>
    <t>19-05-2023</t>
  </si>
  <si>
    <t>05-04-2023</t>
  </si>
  <si>
    <t>18-04-2023</t>
  </si>
  <si>
    <t>03-07-2023</t>
  </si>
  <si>
    <t>04-05-2023</t>
  </si>
  <si>
    <t>06-05-2023</t>
  </si>
  <si>
    <t>01-12-2023</t>
  </si>
  <si>
    <t>20-10-2023</t>
  </si>
  <si>
    <t>20-02-2023</t>
  </si>
  <si>
    <t>14-09-2023</t>
  </si>
  <si>
    <t>15-10-2023</t>
  </si>
  <si>
    <t>13-07-2023</t>
  </si>
  <si>
    <t>20-12-2023</t>
  </si>
  <si>
    <t>11-06-2023</t>
  </si>
  <si>
    <t>06-09-2023</t>
  </si>
  <si>
    <t>17-11-2023</t>
  </si>
  <si>
    <t>31-05-2023</t>
  </si>
  <si>
    <t>01-11-2023</t>
  </si>
  <si>
    <t>27-05-2023</t>
  </si>
  <si>
    <t>28-05-2023</t>
  </si>
  <si>
    <t>04-03-2023</t>
  </si>
  <si>
    <t>16-11-2023</t>
  </si>
  <si>
    <t>12-10-2023</t>
  </si>
  <si>
    <t>27-02-2023</t>
  </si>
  <si>
    <t>Row Labels</t>
  </si>
  <si>
    <t>Grand Total</t>
  </si>
  <si>
    <t>Sales amount</t>
  </si>
  <si>
    <t>Discount amount</t>
  </si>
  <si>
    <t>Final amount</t>
  </si>
  <si>
    <t>month</t>
  </si>
  <si>
    <t>year</t>
  </si>
  <si>
    <t>Sum of Final amount</t>
  </si>
  <si>
    <t>Count of Order_ID</t>
  </si>
  <si>
    <t>May</t>
  </si>
  <si>
    <t>Sum of Quantity</t>
  </si>
  <si>
    <t>Sum of Sales amount</t>
  </si>
  <si>
    <t>Sum of Discount amount</t>
  </si>
  <si>
    <t>Average of Unit_Price</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</si>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</sst>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2">
    <cellStyle name="Currency" xfId="1" builtinId="4"/>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2" formatCode="0.00"/>
    </dxf>
  </dxfs>
  <tableStyles count="0" defaultTableStyle="TableStyleMedium9" defaultPivotStyle="PivotStyleLight16"/>
  <colors>
    <mruColors>
      <color rgb="FF989800"/>
      <color rgb="FFFF74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[Dirty_Retail_Orders.xlsx]FinalAmt(Category)!PivotTable2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'FinalAmt(Category)'!$B$3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'FinalAmt(Category)'!$A$4:$A$5</c:f>
              <c:strCache>
                <c:ptCount val="1"/>
                <c:pt idx="0">
                  <c:v>Electronics</c:v>
                </c:pt>
              </c:strCache>
            </c:strRef>
          </c:cat>
          <c:val>
            <c:numRef>
              <c:f>'FinalAmt(Category)'!$B$4:$B$5</c:f>
              <c:numCache>
                <c:formatCode>General</c:formatCode>
                <c:ptCount val="1"/>
                <c:pt idx="0">
                  <c:v>1370172.5609999998</c:v>
                </c:pt>
              </c:numCache>
            </c:numRef>
          </c:val>
          <c:extLst>
            <c:ext xmlns:c16="http://schemas.microsoft.com/office/drawing/2014/chart" uri="{C3380CC4-5D6E-409C-BE32-E72D297353CC}">
              <c16:uniqueId val="{00000000-41E5-4C61-A2A7-269A0133B414}"/>
            </c:ext>
          </c:extLst>
        </c:ser>
        <c:dLbls>
          <c:dLblPos val="outEnd"/>
          <c:showLegendKey val="0"/>
          <c:showVal val="1"/>
          <c:showCatName val="0"/>
          <c:showSerName val="0"/>
          <c:showPercent val="0"/>
          <c:showBubbleSize val="0"/>
        </c:dLbls>
        <c:gapWidth val="100"/>
        <c:overlap val="-24"/>
        <c:axId val="1359984704"/>
        <c:axId val="1105387088"/>
      </c:barChart>
      <c:catAx>
        <c:axId val="1359984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87088"/>
        <c:crosses val="autoZero"/>
        <c:auto val="1"/>
        <c:lblAlgn val="ctr"/>
        <c:lblOffset val="100"/>
        <c:noMultiLvlLbl val="0"/>
      </c:catAx>
      <c:valAx>
        <c:axId val="1105387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9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[Dirty_Retail_Orders.xlsx]FinalAmt(City)!PivotTable3</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'FinalAmt(City)'!$B$3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'FinalAmt(City)'!$A$4:$A$9</c:f>
              <c:strCache>
                <c:ptCount val="5"/>
                <c:pt idx="0">
                  <c:v>Bengaluru</c:v>
                </c:pt>
                <c:pt idx="1">
                  <c:v>Chennai</c:v>
                </c:pt>
                <c:pt idx="2">
                  <c:v>Delhi</c:v>
                </c:pt>
                <c:pt idx="3">
                  <c:v>Hyderabad</c:v>
                </c:pt>
                <c:pt idx="4">
                  <c:v>Mumbai</c:v>
                </c:pt>
              </c:strCache>
            </c:strRef>
          </c:cat>
          <c:val>
            <c:numRef>
              <c:f>'FinalAmt(City)'!$B$4:$B$9</c:f>
              <c:numCache>
                <c:formatCode>General</c:formatCode>
                <c:ptCount val="5"/>
                <c:pt idx="0">
                  <c:v>298195.27509999997</c:v>
                </c:pt>
                <c:pt idx="1">
                  <c:v>182152.68969999999</c:v>
                </c:pt>
                <c:pt idx="2">
                  <c:v>363695.2782</c:v>
                </c:pt>
                <c:pt idx="3">
                  <c:v>331993.41810000001</c:v>
                </c:pt>
                <c:pt idx="4">
                  <c:v>194135.89989999999</c:v>
                </c:pt>
              </c:numCache>
            </c:numRef>
          </c:val>
          <c:extLst>
            <c:ext xmlns:c16="http://schemas.microsoft.com/office/drawing/2014/chart" uri="{C3380CC4-5D6E-409C-BE32-E72D297353CC}">
              <c16:uniqueId val="{00000000-20D6-44D4-9CDF-04B04A39E493}"/>
            </c:ext>
          </c:extLst>
        </c:ser>
        <c:dLbls>
          <c:showLegendKey val="0"/>
          <c:showVal val="1"/>
          <c:showCatName val="0"/>
          <c:showSerName val="0"/>
          <c:showPercent val="0"/>
          <c:showBubbleSize val="0"/>
        </c:dLbls>
        <c:gapWidth val="150"/>
        <c:shape val="box"/>
        <c:axId val="1369041040"/>
        <c:axId val="1105365488"/>
        <c:axId val="0"/>
      </c:bar3DChart>
      <c:catAx>
        <c:axId val="13690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65488"/>
        <c:crosses val="autoZero"/>
        <c:auto val="1"/>
        <c:lblAlgn val="ctr"/>
        <c:lblOffset val="100"/>
        <c:noMultiLvlLbl val="0"/>
      </c:catAx>
      <c:valAx>
        <c:axId val="11053654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041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[Dirty_Retail_Orders.xlsx]FinalAmt(Salesperson)!PivotTable4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'FinalAmt(Salesperson)'!$B$3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'FinalAmt(Salesperson)'!$A$4:$A$8</c:f>
              <c:strCache>
                <c:ptCount val="4"/>
                <c:pt idx="0">
                  <c:v>Amit</c:v>
                </c:pt>
                <c:pt idx="1">
                  <c:v>John</c:v>
                </c:pt>
                <c:pt idx="2">
                  <c:v>Priya</c:v>
                </c:pt>
                <c:pt idx="3">
                  <c:v>Sneha</c:v>
                </c:pt>
              </c:strCache>
            </c:strRef>
          </c:cat>
          <c:val>
            <c:numRef>
              <c:f>'FinalAmt(Salesperson)'!$B$4:$B$8</c:f>
              <c:numCache>
                <c:formatCode>General</c:formatCode>
                <c:ptCount val="4"/>
                <c:pt idx="0">
                  <c:v>529101.71129999997</c:v>
                </c:pt>
                <c:pt idx="1">
                  <c:v>299866.3652</c:v>
                </c:pt>
                <c:pt idx="2">
                  <c:v>287107.92590000003</c:v>
                </c:pt>
                <c:pt idx="3">
                  <c:v>254096.55859999999</c:v>
                </c:pt>
              </c:numCache>
            </c:numRef>
          </c:val>
          <c:extLst>
            <c:ext xmlns:c16="http://schemas.microsoft.com/office/drawing/2014/chart" uri="{C3380CC4-5D6E-409C-BE32-E72D297353CC}">
              <c16:uniqueId val="{00000000-D430-4545-9591-57974EC77107}"/>
            </c:ext>
          </c:extLst>
        </c:ser>
        <c:dLbls>
          <c:showLegendKey val="0"/>
          <c:showVal val="0"/>
          <c:showCatName val="0"/>
          <c:showSerName val="0"/>
          <c:showPercent val="0"/>
          <c:showBubbleSize val="0"/>
        </c:dLbls>
        <c:gapWidth val="100"/>
        <c:overlap val="-24"/>
        <c:axId val="1502529856"/>
        <c:axId val="1092811120"/>
      </c:barChart>
      <c:catAx>
        <c:axId val="1502529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811120"/>
        <c:crosses val="autoZero"/>
        <c:auto val="1"/>
        <c:lblAlgn val="ctr"/>
        <c:lblOffset val="100"/>
        <c:noMultiLvlLbl val="0"/>
      </c:catAx>
      <c:valAx>
        <c:axId val="1092811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5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[Dirty_Retail_Orders.xlsx]Mode of Payment!PivotTable5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'Mode of Payment'!$B$3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D73-4453-8130-6979823C59D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D73-4453-8130-6979823C59D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D73-4453-8130-6979823C59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'Mode of Payment'!$A$4:$A$7</c:f>
              <c:strCache>
                <c:ptCount val="3"/>
                <c:pt idx="0">
                  <c:v>Card</c:v>
                </c:pt>
                <c:pt idx="1">
                  <c:v>Cash</c:v>
                </c:pt>
                <c:pt idx="2">
                  <c:v>UPI</c:v>
                </c:pt>
              </c:strCache>
            </c:strRef>
          </c:cat>
          <c:val>
            <c:numRef>
              <c:f>'Mode of Payment'!$B$4:$B$7</c:f>
              <c:numCache>
                <c:formatCode>General</c:formatCode>
                <c:ptCount val="3"/>
                <c:pt idx="0">
                  <c:v>32</c:v>
                </c:pt>
                <c:pt idx="1">
                  <c:v>38</c:v>
                </c:pt>
                <c:pt idx="2">
                  <c:v>31</c:v>
                </c:pt>
              </c:numCache>
            </c:numRef>
          </c:val>
          <c:extLst>
            <c:ext xmlns:c16="http://schemas.microsoft.com/office/drawing/2014/chart" uri="{C3380CC4-5D6E-409C-BE32-E72D297353CC}">
              <c16:uniqueId val="{00000000-C84C-4EF8-8E91-78CA9322FC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[Dirty_Retail_Orders.xlsx]FinalAmt(Month)!PivotTable6</c:name>
    <c:fmtId val="1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'FinalAmt(Month)'!$B$3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'FinalAmt(Month)'!$A$4:$A$16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'FinalAmt(Month)'!$B$4:$B$16</c:f>
              <c:numCache>
                <c:formatCode>General</c:formatCode>
                <c:ptCount val="12"/>
                <c:pt idx="0">
                  <c:v>143559.26989999998</c:v>
                </c:pt>
                <c:pt idx="1">
                  <c:v>98960.850999999995</c:v>
                </c:pt>
                <c:pt idx="2">
                  <c:v>124341.6649</c:v>
                </c:pt>
                <c:pt idx="3">
                  <c:v>103411.91089999997</c:v>
                </c:pt>
                <c:pt idx="4">
                  <c:v>41801.920599999998</c:v>
                </c:pt>
                <c:pt idx="5">
                  <c:v>114321.06700000001</c:v>
                </c:pt>
                <c:pt idx="6">
                  <c:v>99200.429199999999</c:v>
                </c:pt>
                <c:pt idx="7">
                  <c:v>139640.09300000002</c:v>
                </c:pt>
                <c:pt idx="8">
                  <c:v>112833.3006</c:v>
                </c:pt>
                <c:pt idx="9">
                  <c:v>121894.23930000002</c:v>
                </c:pt>
                <c:pt idx="10">
                  <c:v>125688.55439999999</c:v>
                </c:pt>
                <c:pt idx="11">
                  <c:v>144519.26020000002</c:v>
                </c:pt>
              </c:numCache>
            </c:numRef>
          </c:val>
          <c:smooth val="0"/>
          <c:extLst>
            <c:ext xmlns:c16="http://schemas.microsoft.com/office/drawing/2014/chart" uri="{C3380CC4-5D6E-409C-BE32-E72D297353CC}">
              <c16:uniqueId val="{00000000-0302-4D7F-B790-79D70CEC7AC4}"/>
            </c:ext>
          </c:extLst>
        </c:ser>
        <c:dLbls>
          <c:showLegendKey val="0"/>
          <c:showVal val="0"/>
          <c:showCatName val="0"/>
          <c:showSerName val="0"/>
          <c:showPercent val="0"/>
          <c:showBubbleSize val="0"/>
        </c:dLbls>
        <c:marker val="1"/>
        <c:smooth val="0"/>
        <c:axId val="1504044880"/>
        <c:axId val="1092828400"/>
      </c:lineChart>
      <c:catAx>
        <c:axId val="1504044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828400"/>
        <c:crosses val="autoZero"/>
        <c:auto val="1"/>
        <c:lblAlgn val="ctr"/>
        <c:lblOffset val="100"/>
        <c:noMultiLvlLbl val="0"/>
      </c:catAx>
      <c:valAx>
        <c:axId val="1092828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40448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[Dirty_Retail_Orders.xlsx]FinalAmt(Category)!PivotTable2</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3981523292503"/>
          <c:y val="0.38504811651722981"/>
          <c:w val="0.72452004715364393"/>
          <c:h val="0.53902060578920197"/>
        </c:manualLayout>
      </c:layout>
      <c:barChart>
        <c:barDir val="col"/>
        <c:grouping val="clustered"/>
        <c:varyColors val="0"/>
        <c:ser>
          <c:idx val="0"/>
          <c:order val="0"/>
          <c:tx>
            <c:strRef>
              <c:f>'FinalAmt(Category)'!$B$3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'FinalAmt(Category)'!$A$4:$A$5</c:f>
              <c:strCache>
                <c:ptCount val="1"/>
                <c:pt idx="0">
                  <c:v>Electronics</c:v>
                </c:pt>
              </c:strCache>
            </c:strRef>
          </c:cat>
          <c:val>
            <c:numRef>
              <c:f>'FinalAmt(Category)'!$B$4:$B$5</c:f>
              <c:numCache>
                <c:formatCode>General</c:formatCode>
                <c:ptCount val="1"/>
                <c:pt idx="0">
                  <c:v>1370172.5609999998</c:v>
                </c:pt>
              </c:numCache>
            </c:numRef>
          </c:val>
          <c:extLst>
            <c:ext xmlns:c16="http://schemas.microsoft.com/office/drawing/2014/chart" uri="{C3380CC4-5D6E-409C-BE32-E72D297353CC}">
              <c16:uniqueId val="{00000000-5DCF-4EE5-8BE6-8DE25422378C}"/>
            </c:ext>
          </c:extLst>
        </c:ser>
        <c:dLbls>
          <c:dLblPos val="outEnd"/>
          <c:showLegendKey val="0"/>
          <c:showVal val="1"/>
          <c:showCatName val="0"/>
          <c:showSerName val="0"/>
          <c:showPercent val="0"/>
          <c:showBubbleSize val="0"/>
        </c:dLbls>
        <c:gapWidth val="315"/>
        <c:overlap val="-40"/>
        <c:axId val="1359984704"/>
        <c:axId val="1105387088"/>
      </c:barChart>
      <c:catAx>
        <c:axId val="1359984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5387088"/>
        <c:crosses val="autoZero"/>
        <c:auto val="1"/>
        <c:lblAlgn val="ctr"/>
        <c:lblOffset val="100"/>
        <c:noMultiLvlLbl val="0"/>
      </c:catAx>
      <c:valAx>
        <c:axId val="1105387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9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[Dirty_Retail_Orders.xlsx]Mode of Payment!PivotTable5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'Mode of Payment'!$B$3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E2-4186-B3A7-8653E7EA2F5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E2-4186-B3A7-8653E7EA2F5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E2-4186-B3A7-8653E7EA2F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'Mode of Payment'!$A$4:$A$7</c:f>
              <c:strCache>
                <c:ptCount val="3"/>
                <c:pt idx="0">
                  <c:v>Card</c:v>
                </c:pt>
                <c:pt idx="1">
                  <c:v>Cash</c:v>
                </c:pt>
                <c:pt idx="2">
                  <c:v>UPI</c:v>
                </c:pt>
              </c:strCache>
            </c:strRef>
          </c:cat>
          <c:val>
            <c:numRef>
              <c:f>'Mode of Payment'!$B$4:$B$7</c:f>
              <c:numCache>
                <c:formatCode>General</c:formatCode>
                <c:ptCount val="3"/>
                <c:pt idx="0">
                  <c:v>32</c:v>
                </c:pt>
                <c:pt idx="1">
                  <c:v>38</c:v>
                </c:pt>
                <c:pt idx="2">
                  <c:v>31</c:v>
                </c:pt>
              </c:numCache>
            </c:numRef>
          </c:val>
          <c:extLst>
            <c:ext xmlns:c16="http://schemas.microsoft.com/office/drawing/2014/chart" uri="{C3380CC4-5D6E-409C-BE32-E72D297353CC}">
              <c16:uniqueId val="{00000006-C8E2-4186-B3A7-8653E7EA2F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[Dirty_Retail_Orders.xlsx]FinalAmt(Month)!PivotTable6</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MONTH</a:t>
            </a:r>
          </a:p>
        </c:rich>
      </c:tx>
      <c:layout>
        <c:manualLayout>
          <c:xMode val="edge"/>
          <c:yMode val="edge"/>
          <c:x val="0.33802342249610795"/>
          <c:y val="7.3725823925449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6897577458523"/>
          <c:y val="0.21425776787811701"/>
          <c:w val="0.70777434767280079"/>
          <c:h val="0.34598320325925919"/>
        </c:manualLayout>
      </c:layout>
      <c:lineChart>
        <c:grouping val="standard"/>
        <c:varyColors val="0"/>
        <c:ser>
          <c:idx val="0"/>
          <c:order val="0"/>
          <c:tx>
            <c:strRef>
              <c:f>'FinalAmt(Month)'!$B$3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'FinalAmt(Month)'!$A$4:$A$16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'FinalAmt(Month)'!$B$4:$B$16</c:f>
              <c:numCache>
                <c:formatCode>General</c:formatCode>
                <c:ptCount val="12"/>
                <c:pt idx="0">
                  <c:v>143559.26989999998</c:v>
                </c:pt>
                <c:pt idx="1">
                  <c:v>98960.850999999995</c:v>
                </c:pt>
                <c:pt idx="2">
                  <c:v>124341.6649</c:v>
                </c:pt>
                <c:pt idx="3">
                  <c:v>103411.91089999997</c:v>
                </c:pt>
                <c:pt idx="4">
                  <c:v>41801.920599999998</c:v>
                </c:pt>
                <c:pt idx="5">
                  <c:v>114321.06700000001</c:v>
                </c:pt>
                <c:pt idx="6">
                  <c:v>99200.429199999999</c:v>
                </c:pt>
                <c:pt idx="7">
                  <c:v>139640.09300000002</c:v>
                </c:pt>
                <c:pt idx="8">
                  <c:v>112833.3006</c:v>
                </c:pt>
                <c:pt idx="9">
                  <c:v>121894.23930000002</c:v>
                </c:pt>
                <c:pt idx="10">
                  <c:v>125688.55439999999</c:v>
                </c:pt>
                <c:pt idx="11">
                  <c:v>144519.26020000002</c:v>
                </c:pt>
              </c:numCache>
            </c:numRef>
          </c:val>
          <c:smooth val="0"/>
          <c:extLst>
            <c:ext xmlns:c16="http://schemas.microsoft.com/office/drawing/2014/chart" uri="{C3380CC4-5D6E-409C-BE32-E72D297353CC}">
              <c16:uniqueId val="{00000001-B68F-4E8E-9857-DACCD903454E}"/>
            </c:ext>
          </c:extLst>
        </c:ser>
        <c:dLbls>
          <c:showLegendKey val="0"/>
          <c:showVal val="0"/>
          <c:showCatName val="0"/>
          <c:showSerName val="0"/>
          <c:showPercent val="0"/>
          <c:showBubbleSize val="0"/>
        </c:dLbls>
        <c:marker val="1"/>
        <c:smooth val="0"/>
        <c:axId val="1504044880"/>
        <c:axId val="1092828400"/>
      </c:lineChart>
      <c:catAx>
        <c:axId val="1504044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828400"/>
        <c:crosses val="autoZero"/>
        <c:auto val="1"/>
        <c:lblAlgn val="ctr"/>
        <c:lblOffset val="100"/>
        <c:noMultiLvlLbl val="0"/>
      </c:catAx>
      <c:valAx>
        <c:axId val="1092828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40448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5.7043101016662628E-3"/>
          <c:y val="0.31752264605667746"/>
          <c:w val="0.23541298421259252"/>
          <c:h val="0.2525513172110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[Dirty_Retail_Orders.xlsx]FinalAmt(City)!PivotTable3</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BY CITY</a:t>
            </a:r>
          </a:p>
        </c:rich>
      </c:tx>
      <c:layout>
        <c:manualLayout>
          <c:xMode val="edge"/>
          <c:yMode val="edge"/>
          <c:x val="0.40414161100922563"/>
          <c:y val="0.1121385518234567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'FinalAmt(City)'!$B$3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'FinalAmt(City)'!$A$4:$A$9</c:f>
              <c:strCache>
                <c:ptCount val="5"/>
                <c:pt idx="0">
                  <c:v>Bengaluru</c:v>
                </c:pt>
                <c:pt idx="1">
                  <c:v>Chennai</c:v>
                </c:pt>
                <c:pt idx="2">
                  <c:v>Delhi</c:v>
                </c:pt>
                <c:pt idx="3">
                  <c:v>Hyderabad</c:v>
                </c:pt>
                <c:pt idx="4">
                  <c:v>Mumbai</c:v>
                </c:pt>
              </c:strCache>
            </c:strRef>
          </c:cat>
          <c:val>
            <c:numRef>
              <c:f>'FinalAmt(City)'!$B$4:$B$9</c:f>
              <c:numCache>
                <c:formatCode>General</c:formatCode>
                <c:ptCount val="5"/>
                <c:pt idx="0">
                  <c:v>298195.27509999997</c:v>
                </c:pt>
                <c:pt idx="1">
                  <c:v>182152.68969999999</c:v>
                </c:pt>
                <c:pt idx="2">
                  <c:v>363695.2782</c:v>
                </c:pt>
                <c:pt idx="3">
                  <c:v>331993.41810000001</c:v>
                </c:pt>
                <c:pt idx="4">
                  <c:v>194135.89989999999</c:v>
                </c:pt>
              </c:numCache>
            </c:numRef>
          </c:val>
          <c:extLst>
            <c:ext xmlns:c16="http://schemas.microsoft.com/office/drawing/2014/chart" uri="{C3380CC4-5D6E-409C-BE32-E72D297353CC}">
              <c16:uniqueId val="{00000000-2209-418B-8C11-839DA7D03496}"/>
            </c:ext>
          </c:extLst>
        </c:ser>
        <c:dLbls>
          <c:showLegendKey val="0"/>
          <c:showVal val="1"/>
          <c:showCatName val="0"/>
          <c:showSerName val="0"/>
          <c:showPercent val="0"/>
          <c:showBubbleSize val="0"/>
        </c:dLbls>
        <c:gapWidth val="150"/>
        <c:shape val="box"/>
        <c:axId val="1369041040"/>
        <c:axId val="1105365488"/>
        <c:axId val="0"/>
      </c:bar3DChart>
      <c:catAx>
        <c:axId val="13690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65488"/>
        <c:crosses val="autoZero"/>
        <c:auto val="1"/>
        <c:lblAlgn val="ctr"/>
        <c:lblOffset val="100"/>
        <c:noMultiLvlLbl val="0"/>
      </c:catAx>
      <c:valAx>
        <c:axId val="11053654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041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[Dirty_Retail_Orders.xlsx]FinalAmt(Salesperson)!PivotTable4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'FinalAmt(Salesperson)'!$B$3</c:f>
              <c:strCache>
                <c:ptCount val="1"/>
                <c:pt idx="0">
                  <c:v>Total</c:v>
                </c:pt>
              </c:strCache>
            </c:strRef>
          </c:tx>
          <c:spPr>
            <a:solidFill>
              <a:schemeClr val="accent1"/>
            </a:solidFill>
            <a:ln>
              <a:noFill/>
            </a:ln>
            <a:effectLst/>
          </c:spPr>
          <c:invertIfNegative val="0"/>
          <c:cat>
            <c:strRef>
              <c:f>'FinalAmt(Salesperson)'!$A$4:$A$8</c:f>
              <c:strCache>
                <c:ptCount val="4"/>
                <c:pt idx="0">
                  <c:v>Amit</c:v>
                </c:pt>
                <c:pt idx="1">
                  <c:v>John</c:v>
                </c:pt>
                <c:pt idx="2">
                  <c:v>Priya</c:v>
                </c:pt>
                <c:pt idx="3">
                  <c:v>Sneha</c:v>
                </c:pt>
              </c:strCache>
            </c:strRef>
          </c:cat>
          <c:val>
            <c:numRef>
              <c:f>'FinalAmt(Salesperson)'!$B$4:$B$8</c:f>
              <c:numCache>
                <c:formatCode>General</c:formatCode>
                <c:ptCount val="4"/>
                <c:pt idx="0">
                  <c:v>529101.71129999997</c:v>
                </c:pt>
                <c:pt idx="1">
                  <c:v>299866.3652</c:v>
                </c:pt>
                <c:pt idx="2">
                  <c:v>287107.92590000003</c:v>
                </c:pt>
                <c:pt idx="3">
                  <c:v>254096.55859999999</c:v>
                </c:pt>
              </c:numCache>
            </c:numRef>
          </c:val>
          <c:extLst>
            <c:ext xmlns:c16="http://schemas.microsoft.com/office/drawing/2014/chart" uri="{C3380CC4-5D6E-409C-BE32-E72D297353CC}">
              <c16:uniqueId val="{00000008-C6E0-4D71-8E07-B6BCE455188C}"/>
            </c:ext>
          </c:extLst>
        </c:ser>
        <c:dLbls>
          <c:showLegendKey val="0"/>
          <c:showVal val="0"/>
          <c:showCatName val="0"/>
          <c:showSerName val="0"/>
          <c:showPercent val="0"/>
          <c:showBubbleSize val="0"/>
        </c:dLbls>
        <c:gapWidth val="219"/>
        <c:overlap val="-27"/>
        <c:axId val="1502529856"/>
        <c:axId val="1092811120"/>
      </c:barChart>
      <c:catAx>
        <c:axId val="150252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811120"/>
        <c:crosses val="autoZero"/>
        <c:auto val="1"/>
        <c:lblAlgn val="ctr"/>
        <c:lblOffset val="100"/>
        <c:noMultiLvlLbl val="0"/>
      </c:catAx>
      <c:valAx>
        <c:axId val="109281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298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1">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[Dirty_Retail_Orders.xlsx]FinalAmt(Salesperson)!PivotTable4</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'FinalAmt(Salesperson)'!$B$3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'FinalAmt(Salesperson)'!$A$4:$A$8</c:f>
              <c:strCache>
                <c:ptCount val="4"/>
                <c:pt idx="0">
                  <c:v>Amit</c:v>
                </c:pt>
                <c:pt idx="1">
                  <c:v>John</c:v>
                </c:pt>
                <c:pt idx="2">
                  <c:v>Priya</c:v>
                </c:pt>
                <c:pt idx="3">
                  <c:v>Sneha</c:v>
                </c:pt>
              </c:strCache>
            </c:strRef>
          </c:cat>
          <c:val>
            <c:numRef>
              <c:f>'FinalAmt(Salesperson)'!$B$4:$B$8</c:f>
              <c:numCache>
                <c:formatCode>General</c:formatCode>
                <c:ptCount val="4"/>
                <c:pt idx="0">
                  <c:v>529101.71129999997</c:v>
                </c:pt>
                <c:pt idx="1">
                  <c:v>299866.3652</c:v>
                </c:pt>
                <c:pt idx="2">
                  <c:v>287107.92590000003</c:v>
                </c:pt>
                <c:pt idx="3">
                  <c:v>254096.55859999999</c:v>
                </c:pt>
              </c:numCache>
            </c:numRef>
          </c:val>
          <c:extLst>
            <c:ext xmlns:c16="http://schemas.microsoft.com/office/drawing/2014/chart" uri="{C3380CC4-5D6E-409C-BE32-E72D297353CC}">
              <c16:uniqueId val="{0000000E-F1A6-4139-9173-9A44C88C53D9}"/>
            </c:ext>
          </c:extLst>
        </c:ser>
        <c:dLbls>
          <c:showLegendKey val="0"/>
          <c:showVal val="0"/>
          <c:showCatName val="0"/>
          <c:showSerName val="0"/>
          <c:showPercent val="0"/>
          <c:showBubbleSize val="0"/>
        </c:dLbls>
        <c:gapWidth val="100"/>
        <c:overlap val="-24"/>
        <c:axId val="1502529856"/>
        <c:axId val="1092811120"/>
      </c:barChart>
      <c:catAx>
        <c:axId val="1502529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811120"/>
        <c:crosses val="autoZero"/>
        <c:auto val="1"/>
        <c:lblAlgn val="ctr"/>
        <c:lblOffset val="100"/>
        <c:noMultiLvlLbl val="0"/>
      </c:catAx>
      <c:valAx>
        <c:axId val="1092811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5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[Dirty_Retail_Orders.xlsx]FinalAmt(Category)!PivotTable2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3981523292503"/>
          <c:y val="0.38504811651722981"/>
          <c:w val="0.72452004715364393"/>
          <c:h val="0.53902060578920197"/>
        </c:manualLayout>
      </c:layout>
      <c:barChart>
        <c:barDir val="col"/>
        <c:grouping val="clustered"/>
        <c:varyColors val="0"/>
        <c:ser>
          <c:idx val="0"/>
          <c:order val="0"/>
          <c:tx>
            <c:strRef>
              <c:f>'FinalAmt(Category)'!$B$3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'FinalAmt(Category)'!$A$4:$A$5</c:f>
              <c:strCache>
                <c:ptCount val="1"/>
                <c:pt idx="0">
                  <c:v>Electronics</c:v>
                </c:pt>
              </c:strCache>
            </c:strRef>
          </c:cat>
          <c:val>
            <c:numRef>
              <c:f>'FinalAmt(Category)'!$B$4:$B$5</c:f>
              <c:numCache>
                <c:formatCode>General</c:formatCode>
                <c:ptCount val="1"/>
                <c:pt idx="0">
                  <c:v>1370172.5609999998</c:v>
                </c:pt>
              </c:numCache>
            </c:numRef>
          </c:val>
          <c:extLst>
            <c:ext xmlns:c16="http://schemas.microsoft.com/office/drawing/2014/chart" uri="{C3380CC4-5D6E-409C-BE32-E72D297353CC}">
              <c16:uniqueId val="{00000000-EB09-4E6D-A884-F566EB0EFF51}"/>
            </c:ext>
          </c:extLst>
        </c:ser>
        <c:dLbls>
          <c:dLblPos val="outEnd"/>
          <c:showLegendKey val="0"/>
          <c:showVal val="1"/>
          <c:showCatName val="0"/>
          <c:showSerName val="0"/>
          <c:showPercent val="0"/>
          <c:showBubbleSize val="0"/>
        </c:dLbls>
        <c:gapWidth val="100"/>
        <c:overlap val="-24"/>
        <c:axId val="1359984704"/>
        <c:axId val="1105387088"/>
      </c:barChart>
      <c:catAx>
        <c:axId val="1359984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87088"/>
        <c:crosses val="autoZero"/>
        <c:auto val="1"/>
        <c:lblAlgn val="ctr"/>
        <c:lblOffset val="100"/>
        <c:noMultiLvlLbl val="0"/>
      </c:catAx>
      <c:valAx>
        <c:axId val="1105387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9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[Dirty_Retail_Orders.xlsx]FinalAmt(City)!PivotTable3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'FinalAmt(City)'!$B$3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'FinalAmt(City)'!$A$4:$A$9</c:f>
              <c:strCache>
                <c:ptCount val="5"/>
                <c:pt idx="0">
                  <c:v>Bengaluru</c:v>
                </c:pt>
                <c:pt idx="1">
                  <c:v>Chennai</c:v>
                </c:pt>
                <c:pt idx="2">
                  <c:v>Delhi</c:v>
                </c:pt>
                <c:pt idx="3">
                  <c:v>Hyderabad</c:v>
                </c:pt>
                <c:pt idx="4">
                  <c:v>Mumbai</c:v>
                </c:pt>
              </c:strCache>
            </c:strRef>
          </c:cat>
          <c:val>
            <c:numRef>
              <c:f>'FinalAmt(City)'!$B$4:$B$9</c:f>
              <c:numCache>
                <c:formatCode>General</c:formatCode>
                <c:ptCount val="5"/>
                <c:pt idx="0">
                  <c:v>298195.27509999997</c:v>
                </c:pt>
                <c:pt idx="1">
                  <c:v>182152.68969999999</c:v>
                </c:pt>
                <c:pt idx="2">
                  <c:v>363695.2782</c:v>
                </c:pt>
                <c:pt idx="3">
                  <c:v>331993.41810000001</c:v>
                </c:pt>
                <c:pt idx="4">
                  <c:v>194135.89989999999</c:v>
                </c:pt>
              </c:numCache>
            </c:numRef>
          </c:val>
          <c:extLst>
            <c:ext xmlns:c16="http://schemas.microsoft.com/office/drawing/2014/chart" uri="{C3380CC4-5D6E-409C-BE32-E72D297353CC}">
              <c16:uniqueId val="{00000002-A68E-45C4-966C-6E8B7D5FE7C0}"/>
            </c:ext>
          </c:extLst>
        </c:ser>
        <c:dLbls>
          <c:showLegendKey val="0"/>
          <c:showVal val="0"/>
          <c:showCatName val="0"/>
          <c:showSerName val="0"/>
          <c:showPercent val="0"/>
          <c:showBubbleSize val="0"/>
        </c:dLbls>
        <c:gapWidth val="100"/>
        <c:overlap val="-24"/>
        <c:axId val="1502529856"/>
        <c:axId val="1092811120"/>
      </c:barChart>
      <c:catAx>
        <c:axId val="15025298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811120"/>
        <c:crosses val="autoZero"/>
        <c:auto val="1"/>
        <c:lblAlgn val="ctr"/>
        <c:lblOffset val="100"/>
        <c:noMultiLvlLbl val="0"/>
      </c:catAx>
      <c:valAx>
        <c:axId val="1092811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25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[Dirty_Retail_Orders.xlsx]FinalAmt(City)!PivotTable3</c:name>
    <c:fmtId val="2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'FinalAmt(City)'!$B$3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'FinalAmt(City)'!$A$4:$A$9</c:f>
              <c:strCache>
                <c:ptCount val="5"/>
                <c:pt idx="0">
                  <c:v>Bengaluru</c:v>
                </c:pt>
                <c:pt idx="1">
                  <c:v>Chennai</c:v>
                </c:pt>
                <c:pt idx="2">
                  <c:v>Delhi</c:v>
                </c:pt>
                <c:pt idx="3">
                  <c:v>Hyderabad</c:v>
                </c:pt>
                <c:pt idx="4">
                  <c:v>Mumbai</c:v>
                </c:pt>
              </c:strCache>
            </c:strRef>
          </c:cat>
          <c:val>
            <c:numRef>
              <c:f>'FinalAmt(City)'!$B$4:$B$9</c:f>
              <c:numCache>
                <c:formatCode>General</c:formatCode>
                <c:ptCount val="5"/>
                <c:pt idx="0">
                  <c:v>298195.27509999997</c:v>
                </c:pt>
                <c:pt idx="1">
                  <c:v>182152.68969999999</c:v>
                </c:pt>
                <c:pt idx="2">
                  <c:v>363695.2782</c:v>
                </c:pt>
                <c:pt idx="3">
                  <c:v>331993.41810000001</c:v>
                </c:pt>
                <c:pt idx="4">
                  <c:v>194135.89989999999</c:v>
                </c:pt>
              </c:numCache>
            </c:numRef>
          </c:val>
          <c:extLst>
            <c:ext xmlns:c16="http://schemas.microsoft.com/office/drawing/2014/chart" uri="{C3380CC4-5D6E-409C-BE32-E72D297353CC}">
              <c16:uniqueId val="{00000000-B6FD-404E-B049-0E118F30D1FE}"/>
            </c:ext>
          </c:extLst>
        </c:ser>
        <c:dLbls>
          <c:showLegendKey val="0"/>
          <c:showVal val="1"/>
          <c:showCatName val="0"/>
          <c:showSerName val="0"/>
          <c:showPercent val="0"/>
          <c:showBubbleSize val="0"/>
        </c:dLbls>
        <c:gapWidth val="150"/>
        <c:shape val="box"/>
        <c:axId val="1369041040"/>
        <c:axId val="1105365488"/>
        <c:axId val="0"/>
      </c:bar3DChart>
      <c:catAx>
        <c:axId val="13690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65488"/>
        <c:crosses val="autoZero"/>
        <c:auto val="1"/>
        <c:lblAlgn val="ctr"/>
        <c:lblOffset val="100"/>
        <c:noMultiLvlLbl val="0"/>
      </c:catAx>
      <c:valAx>
        <c:axId val="11053654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9041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[Dirty_Retail_Orders.xlsx]Mode of Payment!PivotTable5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'Mode of Payment'!$B$3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D8C-46F3-A509-DCECA1E7CD5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D8C-46F3-A509-DCECA1E7CD5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D8C-46F3-A509-DCECA1E7CD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 of Payment'!$A$4:$A$7</c:f>
              <c:strCache>
                <c:ptCount val="3"/>
                <c:pt idx="0">
                  <c:v>Card</c:v>
                </c:pt>
                <c:pt idx="1">
                  <c:v>Cash</c:v>
                </c:pt>
                <c:pt idx="2">
                  <c:v>UPI</c:v>
                </c:pt>
              </c:strCache>
            </c:strRef>
          </c:cat>
          <c:val>
            <c:numRef>
              <c:f>'Mode of Payment'!$B$4:$B$7</c:f>
              <c:numCache>
                <c:formatCode>General</c:formatCode>
                <c:ptCount val="3"/>
                <c:pt idx="0">
                  <c:v>32</c:v>
                </c:pt>
                <c:pt idx="1">
                  <c:v>38</c:v>
                </c:pt>
                <c:pt idx="2">
                  <c:v>31</c:v>
                </c:pt>
              </c:numCache>
            </c:numRef>
          </c:val>
          <c:extLst>
            <c:ext xmlns:c16="http://schemas.microsoft.com/office/drawing/2014/chart" uri="{C3380CC4-5D6E-409C-BE32-E72D297353CC}">
              <c16:uniqueId val="{00000006-2D8C-46F3-A509-DCECA1E7CD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[Dirty_Retail_Orders.xlsx]FinalAmt(Month)!PivotTable6</c:name>
    <c:fmtId val="1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'FinalAmt(Month)'!$B$3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linear"/>
            <c:dispRSqr val="0"/>
            <c:dispEq val="0"/>
          </c:trendline>
          <c:cat>
            <c:strRef>
              <c:f>'FinalAmt(Month)'!$A$4:$A$16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'FinalAmt(Month)'!$B$4:$B$16</c:f>
              <c:numCache>
                <c:formatCode>General</c:formatCode>
                <c:ptCount val="12"/>
                <c:pt idx="0">
                  <c:v>143559.26989999998</c:v>
                </c:pt>
                <c:pt idx="1">
                  <c:v>98960.850999999995</c:v>
                </c:pt>
                <c:pt idx="2">
                  <c:v>124341.6649</c:v>
                </c:pt>
                <c:pt idx="3">
                  <c:v>103411.91089999997</c:v>
                </c:pt>
                <c:pt idx="4">
                  <c:v>41801.920599999998</c:v>
                </c:pt>
                <c:pt idx="5">
                  <c:v>114321.06700000001</c:v>
                </c:pt>
                <c:pt idx="6">
                  <c:v>99200.429199999999</c:v>
                </c:pt>
                <c:pt idx="7">
                  <c:v>139640.09300000002</c:v>
                </c:pt>
                <c:pt idx="8">
                  <c:v>112833.3006</c:v>
                </c:pt>
                <c:pt idx="9">
                  <c:v>121894.23930000002</c:v>
                </c:pt>
                <c:pt idx="10">
                  <c:v>125688.55439999999</c:v>
                </c:pt>
                <c:pt idx="11">
                  <c:v>144519.26020000002</c:v>
                </c:pt>
              </c:numCache>
            </c:numRef>
          </c:val>
          <c:smooth val="0"/>
          <c:extLst>
            <c:ext xmlns:c16="http://schemas.microsoft.com/office/drawing/2014/chart" uri="{C3380CC4-5D6E-409C-BE32-E72D297353CC}">
              <c16:uniqueId val="{00000001-4380-4A29-B4B1-B78D3804515C}"/>
            </c:ext>
          </c:extLst>
        </c:ser>
        <c:dLbls>
          <c:showLegendKey val="0"/>
          <c:showVal val="0"/>
          <c:showCatName val="0"/>
          <c:showSerName val="0"/>
          <c:showPercent val="0"/>
          <c:showBubbleSize val="0"/>
        </c:dLbls>
        <c:marker val="1"/>
        <c:smooth val="0"/>
        <c:axId val="1504044880"/>
        <c:axId val="1092828400"/>
      </c:lineChart>
      <c:catAx>
        <c:axId val="1504044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2828400"/>
        <c:crosses val="autoZero"/>
        <c:auto val="1"/>
        <c:lblAlgn val="ctr"/>
        <c:lblOffset val="100"/>
        <c:noMultiLvlLbl val="0"/>
      </c:catAx>
      <c:valAx>
        <c:axId val="1092828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40448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1!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1!A1"/><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1!A1"/><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1!A1"/><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1!A1"/><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hyperlink" Target="#Payment_mode!A1"/><Relationship Id="rId3" Type="http://schemas.openxmlformats.org/officeDocument/2006/relationships/chart" Target="../charts/chart8.xml"/><Relationship Id="rId7" Type="http://schemas.openxmlformats.org/officeDocument/2006/relationships/hyperlink" Target="#Month_Finalamount!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category_Final_amount!A1"/><Relationship Id="rId11" Type="http://schemas.openxmlformats.org/officeDocument/2006/relationships/chart" Target="../charts/chart11.xml"/><Relationship Id="rId5" Type="http://schemas.openxmlformats.org/officeDocument/2006/relationships/hyperlink" Target="#Salesperson_Finalamount!A1"/><Relationship Id="rId10"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hyperlink" Target="#city_Final_amount!A1"/></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image" Target="../media/image2.sv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png"/><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175260</xdr:colOff>
      <xdr:row>0</xdr:row>
      <xdr:rowOff>26670</xdr:rowOff>
    </xdr:from>
    <xdr:to>
      <xdr:col>13</xdr:col>
      <xdr:colOff>480060</xdr:colOff>
      <xdr:row>15</xdr:row>
      <xdr:rowOff>26670</xdr:rowOff>
    </xdr:to>
    <xdr:graphicFrame macro="">
      <xdr:nvGraphicFramePr>
        <xdr:cNvPr id="2" name="Chart 1">
          <a:extLst>
            <a:ext uri="{FF2B5EF4-FFF2-40B4-BE49-F238E27FC236}">
              <a16:creationId xmlns:a16="http://schemas.microsoft.com/office/drawing/2014/main" id="{EF700181-9603-8EC4-03B7-81136D57C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372717</xdr:colOff>
      <xdr:row>3</xdr:row>
      <xdr:rowOff>117613</xdr:rowOff>
    </xdr:from>
    <xdr:to>
      <xdr:col>17</xdr:col>
      <xdr:colOff>366422</xdr:colOff>
      <xdr:row>17</xdr:row>
      <xdr:rowOff>24930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EF5AE29-0267-3ED3-CFCB-A3D69E0B395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30847" y="664265"/>
              <a:ext cx="1832444" cy="245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538369</xdr:colOff>
      <xdr:row>2</xdr:row>
      <xdr:rowOff>96078</xdr:rowOff>
    </xdr:from>
    <xdr:to>
      <xdr:col>4</xdr:col>
      <xdr:colOff>558450</xdr:colOff>
      <xdr:row>11</xdr:row>
      <xdr:rowOff>57979</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BA313A8-2B07-8197-ECDF-587C518949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41543" y="460513"/>
              <a:ext cx="1245907" cy="1601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460845</xdr:colOff>
      <xdr:row>11</xdr:row>
      <xdr:rowOff>89783</xdr:rowOff>
    </xdr:from>
    <xdr:to>
      <xdr:col>20</xdr:col>
      <xdr:colOff>460845</xdr:colOff>
      <xdr:row>24</xdr:row>
      <xdr:rowOff>179319</xdr:rowOff>
    </xdr:to>
    <mc:AlternateContent xmlns:mc="http://schemas.openxmlformats.org/markup-compatibility/2006" xmlns:a14="http://schemas.microsoft.com/office/drawing/2010/main">
      <mc:Choice Requires="a14">
        <xdr:graphicFrame macro="">
          <xdr:nvGraphicFramePr>
            <xdr:cNvPr id="5" name="Salesperson">
              <a:extLst>
                <a:ext uri="{FF2B5EF4-FFF2-40B4-BE49-F238E27FC236}">
                  <a16:creationId xmlns:a16="http://schemas.microsoft.com/office/drawing/2014/main" id="{BB6CE902-1CCB-DABF-5D2C-EBC9DE1F9E1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857715" y="2094174"/>
              <a:ext cx="1838739" cy="2458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404522</xdr:colOff>
      <xdr:row>4</xdr:row>
      <xdr:rowOff>9608</xdr:rowOff>
    </xdr:from>
    <xdr:to>
      <xdr:col>20</xdr:col>
      <xdr:colOff>404522</xdr:colOff>
      <xdr:row>10</xdr:row>
      <xdr:rowOff>173935</xdr:rowOff>
    </xdr:to>
    <mc:AlternateContent xmlns:mc="http://schemas.openxmlformats.org/markup-compatibility/2006" xmlns:a14="http://schemas.microsoft.com/office/drawing/2010/main">
      <mc:Choice Requires="a14">
        <xdr:graphicFrame macro="">
          <xdr:nvGraphicFramePr>
            <xdr:cNvPr id="6" name="Payment_Mode">
              <a:extLst>
                <a:ext uri="{FF2B5EF4-FFF2-40B4-BE49-F238E27FC236}">
                  <a16:creationId xmlns:a16="http://schemas.microsoft.com/office/drawing/2014/main" id="{F3012568-FD3B-8B50-5711-2EA776B39C9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801392" y="738478"/>
              <a:ext cx="1838739" cy="1257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285916</xdr:colOff>
      <xdr:row>12</xdr:row>
      <xdr:rowOff>149087</xdr:rowOff>
    </xdr:from>
    <xdr:to>
      <xdr:col>17</xdr:col>
      <xdr:colOff>285916</xdr:colOff>
      <xdr:row>26</xdr:row>
      <xdr:rowOff>56405</xdr:rowOff>
    </xdr:to>
    <mc:AlternateContent xmlns:mc="http://schemas.openxmlformats.org/markup-compatibility/2006" xmlns:a14="http://schemas.microsoft.com/office/drawing/2010/main">
      <mc:Choice Requires="a14">
        <xdr:graphicFrame macro="">
          <xdr:nvGraphicFramePr>
            <xdr:cNvPr id="7" name="Order_Status">
              <a:extLst>
                <a:ext uri="{FF2B5EF4-FFF2-40B4-BE49-F238E27FC236}">
                  <a16:creationId xmlns:a16="http://schemas.microsoft.com/office/drawing/2014/main" id="{FA9DBC83-F223-E0D8-281E-1231AAEFAF3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9844046" y="2335696"/>
              <a:ext cx="1838739" cy="245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124240</xdr:colOff>
      <xdr:row>0</xdr:row>
      <xdr:rowOff>49697</xdr:rowOff>
    </xdr:from>
    <xdr:to>
      <xdr:col>16</xdr:col>
      <xdr:colOff>339587</xdr:colOff>
      <xdr:row>2</xdr:row>
      <xdr:rowOff>173936</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925BE532-5614-A70F-DEE1-486C4C3495BC}"/>
            </a:ext>
          </a:extLst>
        </xdr:cNvPr>
        <xdr:cNvSpPr/>
      </xdr:nvSpPr>
      <xdr:spPr>
        <a:xfrm>
          <a:off x="9682370" y="49697"/>
          <a:ext cx="1441174" cy="488674"/>
        </a:xfrm>
        <a:prstGeom prst="rect">
          <a:avLst/>
        </a:prstGeom>
        <a:solidFill>
          <a:srgbClr val="9898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351644</xdr:colOff>
      <xdr:row>3</xdr:row>
      <xdr:rowOff>13355</xdr:rowOff>
    </xdr:from>
    <xdr:to>
      <xdr:col>14</xdr:col>
      <xdr:colOff>39224</xdr:colOff>
      <xdr:row>19</xdr:row>
      <xdr:rowOff>95881</xdr:rowOff>
    </xdr:to>
    <xdr:graphicFrame macro="">
      <xdr:nvGraphicFramePr>
        <xdr:cNvPr id="2" name="Chart 1">
          <a:extLst>
            <a:ext uri="{FF2B5EF4-FFF2-40B4-BE49-F238E27FC236}">
              <a16:creationId xmlns:a16="http://schemas.microsoft.com/office/drawing/2014/main" id="{335D8BBF-69D6-653C-D609-59010B858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583660</xdr:colOff>
      <xdr:row>1</xdr:row>
      <xdr:rowOff>113489</xdr:rowOff>
    </xdr:from>
    <xdr:to>
      <xdr:col>20</xdr:col>
      <xdr:colOff>178341</xdr:colOff>
      <xdr:row>4</xdr:row>
      <xdr:rowOff>24319</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2F199CD7-03EB-DCD0-AA8D-956476BCD48E}"/>
            </a:ext>
          </a:extLst>
        </xdr:cNvPr>
        <xdr:cNvSpPr/>
      </xdr:nvSpPr>
      <xdr:spPr>
        <a:xfrm>
          <a:off x="11867745" y="299936"/>
          <a:ext cx="1418617" cy="4701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3</xdr:row>
      <xdr:rowOff>11430</xdr:rowOff>
    </xdr:from>
    <xdr:to>
      <xdr:col>11</xdr:col>
      <xdr:colOff>548640</xdr:colOff>
      <xdr:row>18</xdr:row>
      <xdr:rowOff>11430</xdr:rowOff>
    </xdr:to>
    <xdr:graphicFrame macro="">
      <xdr:nvGraphicFramePr>
        <xdr:cNvPr id="3" name="Chart 2">
          <a:extLst>
            <a:ext uri="{FF2B5EF4-FFF2-40B4-BE49-F238E27FC236}">
              <a16:creationId xmlns:a16="http://schemas.microsoft.com/office/drawing/2014/main" id="{75A8B9FF-BA15-DC50-6C57-AED3906ED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144780</xdr:colOff>
      <xdr:row>3</xdr:row>
      <xdr:rowOff>91440</xdr:rowOff>
    </xdr:from>
    <xdr:to>
      <xdr:col>18</xdr:col>
      <xdr:colOff>388620</xdr:colOff>
      <xdr:row>5</xdr:row>
      <xdr:rowOff>160020</xdr:rowOff>
    </xdr:to>
    <xdr:sp macro="" textlink="">
      <xdr:nvSpPr>
        <xdr:cNvPr id="2" name="Rectangle 1">
          <a:hlinkClick xmlns:r="http://schemas.openxmlformats.org/officeDocument/2006/relationships" r:id="rId2"/>
          <a:extLst>
            <a:ext uri="{FF2B5EF4-FFF2-40B4-BE49-F238E27FC236}">
              <a16:creationId xmlns:a16="http://schemas.microsoft.com/office/drawing/2014/main" id="{AF19C820-2344-F9D4-FBE6-8F92CB2C6AF9}"/>
            </a:ext>
          </a:extLst>
        </xdr:cNvPr>
        <xdr:cNvSpPr/>
      </xdr:nvSpPr>
      <xdr:spPr>
        <a:xfrm>
          <a:off x="10820400" y="640080"/>
          <a:ext cx="1463040" cy="434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2" name="Chart 1">
          <a:extLst>
            <a:ext uri="{FF2B5EF4-FFF2-40B4-BE49-F238E27FC236}">
              <a16:creationId xmlns:a16="http://schemas.microsoft.com/office/drawing/2014/main" id="{AD6458F4-F18C-781A-DED9-6C6681C95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281940</xdr:colOff>
      <xdr:row>2</xdr:row>
      <xdr:rowOff>99060</xdr:rowOff>
    </xdr:from>
    <xdr:to>
      <xdr:col>18</xdr:col>
      <xdr:colOff>510540</xdr:colOff>
      <xdr:row>5</xdr:row>
      <xdr:rowOff>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EC2E50C6-C363-2A72-8B81-76EB034D18F1}"/>
            </a:ext>
          </a:extLst>
        </xdr:cNvPr>
        <xdr:cNvSpPr/>
      </xdr:nvSpPr>
      <xdr:spPr>
        <a:xfrm>
          <a:off x="10805160" y="464820"/>
          <a:ext cx="1447800" cy="449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175260</xdr:rowOff>
    </xdr:from>
    <xdr:to>
      <xdr:col>13</xdr:col>
      <xdr:colOff>358140</xdr:colOff>
      <xdr:row>18</xdr:row>
      <xdr:rowOff>19050</xdr:rowOff>
    </xdr:to>
    <xdr:graphicFrame macro="">
      <xdr:nvGraphicFramePr>
        <xdr:cNvPr id="3" name="Chart 2">
          <a:extLst>
            <a:ext uri="{FF2B5EF4-FFF2-40B4-BE49-F238E27FC236}">
              <a16:creationId xmlns:a16="http://schemas.microsoft.com/office/drawing/2014/main" id="{00400B96-27F3-7372-0C49-F001B5851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220980</xdr:colOff>
      <xdr:row>18</xdr:row>
      <xdr:rowOff>99061</xdr:rowOff>
    </xdr:from>
    <xdr:to>
      <xdr:col>13</xdr:col>
      <xdr:colOff>575580</xdr:colOff>
      <xdr:row>27</xdr:row>
      <xdr:rowOff>160021</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B70ABF1B-66C8-2384-D58A-1E7233DE01A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239000" y="3390901"/>
              <a:ext cx="21834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175260</xdr:colOff>
      <xdr:row>3</xdr:row>
      <xdr:rowOff>53340</xdr:rowOff>
    </xdr:from>
    <xdr:to>
      <xdr:col>18</xdr:col>
      <xdr:colOff>441960</xdr:colOff>
      <xdr:row>5</xdr:row>
      <xdr:rowOff>137160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D29D9AE1-7578-FF6F-79E9-CD522D1B31DA}"/>
            </a:ext>
          </a:extLst>
        </xdr:cNvPr>
        <xdr:cNvSpPr/>
      </xdr:nvSpPr>
      <xdr:spPr>
        <a:xfrm>
          <a:off x="10850880" y="601980"/>
          <a:ext cx="1485900" cy="449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532448</xdr:colOff>
      <xdr:row>28</xdr:row>
      <xdr:rowOff>121920</xdr:rowOff>
    </xdr:to>
    <xdr:sp macro="" textlink="">
      <xdr:nvSpPr>
        <xdr:cNvPr id="2" name="Rectangle 1">
          <a:extLst>
            <a:ext uri="{FF2B5EF4-FFF2-40B4-BE49-F238E27FC236}">
              <a16:creationId xmlns:a16="http://schemas.microsoft.com/office/drawing/2014/main" id="{B66ACA4F-5AA0-2AAA-A493-12598CAB452A}"/>
            </a:ext>
          </a:extLst>
        </xdr:cNvPr>
        <xdr:cNvSpPr/>
      </xdr:nvSpPr>
      <xdr:spPr>
        <a:xfrm>
          <a:off x="0" y="0"/>
          <a:ext cx="12759890" cy="5207827"/>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53959</xdr:colOff>
      <xdr:row>0</xdr:row>
      <xdr:rowOff>101079</xdr:rowOff>
    </xdr:from>
    <xdr:to>
      <xdr:col>2</xdr:col>
      <xdr:colOff>143130</xdr:colOff>
      <xdr:row>28</xdr:row>
      <xdr:rowOff>83346</xdr:rowOff>
    </xdr:to>
    <xdr:sp macro="" textlink="">
      <xdr:nvSpPr>
        <xdr:cNvPr id="3" name="Rectangle: Rounded Corners 2">
          <a:extLst>
            <a:ext uri="{FF2B5EF4-FFF2-40B4-BE49-F238E27FC236}">
              <a16:creationId xmlns:a16="http://schemas.microsoft.com/office/drawing/2014/main" id="{5022EF89-AC5E-47B8-7670-28B0E3C48380}"/>
            </a:ext>
          </a:extLst>
        </xdr:cNvPr>
        <xdr:cNvSpPr/>
      </xdr:nvSpPr>
      <xdr:spPr>
        <a:xfrm>
          <a:off x="53959" y="101079"/>
          <a:ext cx="1303609" cy="4982892"/>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238126</xdr:colOff>
      <xdr:row>0</xdr:row>
      <xdr:rowOff>119063</xdr:rowOff>
    </xdr:from>
    <xdr:to>
      <xdr:col>17</xdr:col>
      <xdr:colOff>154782</xdr:colOff>
      <xdr:row>4</xdr:row>
      <xdr:rowOff>154782</xdr:rowOff>
    </xdr:to>
    <xdr:sp macro="" textlink="">
      <xdr:nvSpPr>
        <xdr:cNvPr id="5" name="Rectangle: Rounded Corners 4">
          <a:extLst>
            <a:ext uri="{FF2B5EF4-FFF2-40B4-BE49-F238E27FC236}">
              <a16:creationId xmlns:a16="http://schemas.microsoft.com/office/drawing/2014/main" id="{4DAA150D-9E1B-1582-D597-DDCCE584F97E}"/>
            </a:ext>
          </a:extLst>
        </xdr:cNvPr>
        <xdr:cNvSpPr/>
      </xdr:nvSpPr>
      <xdr:spPr>
        <a:xfrm>
          <a:off x="1452564" y="119063"/>
          <a:ext cx="9024937" cy="750094"/>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214063</xdr:colOff>
      <xdr:row>0</xdr:row>
      <xdr:rowOff>0</xdr:rowOff>
    </xdr:from>
    <xdr:to>
      <xdr:col>20</xdr:col>
      <xdr:colOff>404563</xdr:colOff>
      <xdr:row>28</xdr:row>
      <xdr:rowOff>1</xdr:rowOff>
    </xdr:to>
    <xdr:sp macro="" textlink="">
      <xdr:nvSpPr>
        <xdr:cNvPr id="6" name="Rectangle: Rounded Corners 5">
          <a:extLst>
            <a:ext uri="{FF2B5EF4-FFF2-40B4-BE49-F238E27FC236}">
              <a16:creationId xmlns:a16="http://schemas.microsoft.com/office/drawing/2014/main" id="{DB192A7C-A3E1-A28C-B80A-3BC1EC0E2017}"/>
            </a:ext>
          </a:extLst>
        </xdr:cNvPr>
        <xdr:cNvSpPr/>
      </xdr:nvSpPr>
      <xdr:spPr>
        <a:xfrm>
          <a:off x="10577263" y="0"/>
          <a:ext cx="2019300" cy="5165559"/>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557730</xdr:colOff>
      <xdr:row>1</xdr:row>
      <xdr:rowOff>62056</xdr:rowOff>
    </xdr:from>
    <xdr:to>
      <xdr:col>13</xdr:col>
      <xdr:colOff>378401</xdr:colOff>
      <xdr:row>4</xdr:row>
      <xdr:rowOff>33223</xdr:rowOff>
    </xdr:to>
    <xdr:sp macro="" textlink="">
      <xdr:nvSpPr>
        <xdr:cNvPr id="8" name="Rectangle: Rounded Corners 7">
          <a:extLst>
            <a:ext uri="{FF2B5EF4-FFF2-40B4-BE49-F238E27FC236}">
              <a16:creationId xmlns:a16="http://schemas.microsoft.com/office/drawing/2014/main" id="{52397871-A312-61B5-9205-2CE9C02FFB37}"/>
            </a:ext>
          </a:extLst>
        </xdr:cNvPr>
        <xdr:cNvSpPr/>
      </xdr:nvSpPr>
      <xdr:spPr>
        <a:xfrm>
          <a:off x="7272592" y="243084"/>
          <a:ext cx="1041555" cy="514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solidFill>
                <a:schemeClr val="tx1"/>
              </a:solidFill>
            </a:rPr>
            <a:t>Average Order</a:t>
          </a:r>
          <a:r>
            <a:rPr lang="en-IN" sz="700" b="1" baseline="0">
              <a:solidFill>
                <a:schemeClr val="tx1"/>
              </a:solidFill>
            </a:rPr>
            <a:t> </a:t>
          </a:r>
          <a:r>
            <a:rPr lang="en-IN" sz="700" b="1">
              <a:solidFill>
                <a:schemeClr val="tx1"/>
              </a:solidFill>
            </a:rPr>
            <a:t>Value</a:t>
          </a:r>
        </a:p>
      </xdr:txBody>
    </xdr:sp>
    <xdr:clientData/>
  </xdr:twoCellAnchor>
  <xdr:twoCellAnchor>
    <xdr:from>
      <xdr:col>8</xdr:col>
      <xdr:colOff>579395</xdr:colOff>
      <xdr:row>1</xdr:row>
      <xdr:rowOff>57665</xdr:rowOff>
    </xdr:from>
    <xdr:to>
      <xdr:col>10</xdr:col>
      <xdr:colOff>399535</xdr:colOff>
      <xdr:row>4</xdr:row>
      <xdr:rowOff>28832</xdr:rowOff>
    </xdr:to>
    <xdr:sp macro="" textlink="">
      <xdr:nvSpPr>
        <xdr:cNvPr id="11" name="Rectangle: Rounded Corners 10">
          <a:extLst>
            <a:ext uri="{FF2B5EF4-FFF2-40B4-BE49-F238E27FC236}">
              <a16:creationId xmlns:a16="http://schemas.microsoft.com/office/drawing/2014/main" id="{17D45607-8AC1-98CF-6F1A-36431D296542}"/>
            </a:ext>
          </a:extLst>
        </xdr:cNvPr>
        <xdr:cNvSpPr/>
      </xdr:nvSpPr>
      <xdr:spPr>
        <a:xfrm>
          <a:off x="5467179" y="243016"/>
          <a:ext cx="1042086" cy="5272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Total Quantity</a:t>
          </a:r>
        </a:p>
      </xdr:txBody>
    </xdr:sp>
    <xdr:clientData/>
  </xdr:twoCellAnchor>
  <xdr:twoCellAnchor>
    <xdr:from>
      <xdr:col>14</xdr:col>
      <xdr:colOff>469557</xdr:colOff>
      <xdr:row>1</xdr:row>
      <xdr:rowOff>37069</xdr:rowOff>
    </xdr:from>
    <xdr:to>
      <xdr:col>16</xdr:col>
      <xdr:colOff>289697</xdr:colOff>
      <xdr:row>4</xdr:row>
      <xdr:rowOff>8236</xdr:rowOff>
    </xdr:to>
    <xdr:sp macro="" textlink="">
      <xdr:nvSpPr>
        <xdr:cNvPr id="12" name="Rectangle: Rounded Corners 11">
          <a:extLst>
            <a:ext uri="{FF2B5EF4-FFF2-40B4-BE49-F238E27FC236}">
              <a16:creationId xmlns:a16="http://schemas.microsoft.com/office/drawing/2014/main" id="{FCB171EC-998E-D1CC-3232-0AA35339562F}"/>
            </a:ext>
          </a:extLst>
        </xdr:cNvPr>
        <xdr:cNvSpPr/>
      </xdr:nvSpPr>
      <xdr:spPr>
        <a:xfrm>
          <a:off x="9023179" y="222420"/>
          <a:ext cx="1042086" cy="5272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Total</a:t>
          </a:r>
          <a:r>
            <a:rPr lang="en-IN" sz="1000" b="1" baseline="0">
              <a:solidFill>
                <a:schemeClr val="tx1"/>
              </a:solidFill>
            </a:rPr>
            <a:t> Discount</a:t>
          </a:r>
          <a:endParaRPr lang="en-IN" sz="1000" b="1">
            <a:solidFill>
              <a:schemeClr val="tx1"/>
            </a:solidFill>
          </a:endParaRPr>
        </a:p>
      </xdr:txBody>
    </xdr:sp>
    <xdr:clientData/>
  </xdr:twoCellAnchor>
  <xdr:twoCellAnchor>
    <xdr:from>
      <xdr:col>5</xdr:col>
      <xdr:colOff>560175</xdr:colOff>
      <xdr:row>1</xdr:row>
      <xdr:rowOff>59037</xdr:rowOff>
    </xdr:from>
    <xdr:to>
      <xdr:col>7</xdr:col>
      <xdr:colOff>380315</xdr:colOff>
      <xdr:row>4</xdr:row>
      <xdr:rowOff>30204</xdr:rowOff>
    </xdr:to>
    <xdr:sp macro="" textlink="">
      <xdr:nvSpPr>
        <xdr:cNvPr id="13" name="Rectangle: Rounded Corners 12">
          <a:extLst>
            <a:ext uri="{FF2B5EF4-FFF2-40B4-BE49-F238E27FC236}">
              <a16:creationId xmlns:a16="http://schemas.microsoft.com/office/drawing/2014/main" id="{F64E11F2-F788-8867-E39D-56517FCFA75D}"/>
            </a:ext>
          </a:extLst>
        </xdr:cNvPr>
        <xdr:cNvSpPr/>
      </xdr:nvSpPr>
      <xdr:spPr>
        <a:xfrm>
          <a:off x="3615040" y="244388"/>
          <a:ext cx="1042086" cy="5272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Orders</a:t>
          </a:r>
        </a:p>
      </xdr:txBody>
    </xdr:sp>
    <xdr:clientData/>
  </xdr:twoCellAnchor>
  <xdr:twoCellAnchor>
    <xdr:from>
      <xdr:col>2</xdr:col>
      <xdr:colOff>595872</xdr:colOff>
      <xdr:row>1</xdr:row>
      <xdr:rowOff>67275</xdr:rowOff>
    </xdr:from>
    <xdr:to>
      <xdr:col>4</xdr:col>
      <xdr:colOff>416012</xdr:colOff>
      <xdr:row>4</xdr:row>
      <xdr:rowOff>38442</xdr:rowOff>
    </xdr:to>
    <xdr:sp macro="" textlink="">
      <xdr:nvSpPr>
        <xdr:cNvPr id="14" name="Rectangle: Rounded Corners 13">
          <a:extLst>
            <a:ext uri="{FF2B5EF4-FFF2-40B4-BE49-F238E27FC236}">
              <a16:creationId xmlns:a16="http://schemas.microsoft.com/office/drawing/2014/main" id="{5AD4ADD6-D44D-F109-3625-12F574A84E81}"/>
            </a:ext>
          </a:extLst>
        </xdr:cNvPr>
        <xdr:cNvSpPr/>
      </xdr:nvSpPr>
      <xdr:spPr>
        <a:xfrm>
          <a:off x="1817818" y="252626"/>
          <a:ext cx="1042086" cy="5272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Sales</a:t>
          </a:r>
        </a:p>
      </xdr:txBody>
    </xdr:sp>
    <xdr:clientData/>
  </xdr:twoCellAnchor>
  <xdr:twoCellAnchor>
    <xdr:from>
      <xdr:col>2</xdr:col>
      <xdr:colOff>299720</xdr:colOff>
      <xdr:row>5</xdr:row>
      <xdr:rowOff>101600</xdr:rowOff>
    </xdr:from>
    <xdr:to>
      <xdr:col>7</xdr:col>
      <xdr:colOff>375920</xdr:colOff>
      <xdr:row>14</xdr:row>
      <xdr:rowOff>152400</xdr:rowOff>
    </xdr:to>
    <xdr:graphicFrame macro="">
      <xdr:nvGraphicFramePr>
        <xdr:cNvPr id="15" name="Chart 14">
          <a:extLst>
            <a:ext uri="{FF2B5EF4-FFF2-40B4-BE49-F238E27FC236}">
              <a16:creationId xmlns:a16="http://schemas.microsoft.com/office/drawing/2014/main" id="{89709BC5-2591-42A0-A791-35A59B75B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87586</xdr:colOff>
      <xdr:row>5</xdr:row>
      <xdr:rowOff>124725</xdr:rowOff>
    </xdr:from>
    <xdr:to>
      <xdr:col>16</xdr:col>
      <xdr:colOff>583167</xdr:colOff>
      <xdr:row>14</xdr:row>
      <xdr:rowOff>152400</xdr:rowOff>
    </xdr:to>
    <xdr:graphicFrame macro="">
      <xdr:nvGraphicFramePr>
        <xdr:cNvPr id="17" name="Chart 16">
          <a:extLst>
            <a:ext uri="{FF2B5EF4-FFF2-40B4-BE49-F238E27FC236}">
              <a16:creationId xmlns:a16="http://schemas.microsoft.com/office/drawing/2014/main" id="{D240BC35-4D02-4A24-A221-D17588A39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509699</xdr:colOff>
      <xdr:row>5</xdr:row>
      <xdr:rowOff>128954</xdr:rowOff>
    </xdr:from>
    <xdr:to>
      <xdr:col>12</xdr:col>
      <xdr:colOff>574433</xdr:colOff>
      <xdr:row>14</xdr:row>
      <xdr:rowOff>125451</xdr:rowOff>
    </xdr:to>
    <xdr:graphicFrame macro="">
      <xdr:nvGraphicFramePr>
        <xdr:cNvPr id="19" name="Chart 18">
          <a:extLst>
            <a:ext uri="{FF2B5EF4-FFF2-40B4-BE49-F238E27FC236}">
              <a16:creationId xmlns:a16="http://schemas.microsoft.com/office/drawing/2014/main" id="{D80AD2AF-0F7D-498D-B812-363ADD7F6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248653</xdr:colOff>
      <xdr:row>15</xdr:row>
      <xdr:rowOff>140531</xdr:rowOff>
    </xdr:from>
    <xdr:to>
      <xdr:col>16</xdr:col>
      <xdr:colOff>595972</xdr:colOff>
      <xdr:row>27</xdr:row>
      <xdr:rowOff>166806</xdr:rowOff>
    </xdr:to>
    <xdr:graphicFrame macro="">
      <xdr:nvGraphicFramePr>
        <xdr:cNvPr id="20" name="Chart 19">
          <a:extLst>
            <a:ext uri="{FF2B5EF4-FFF2-40B4-BE49-F238E27FC236}">
              <a16:creationId xmlns:a16="http://schemas.microsoft.com/office/drawing/2014/main" id="{022CB26D-E799-4E29-A498-F54E1DA3E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17722</xdr:colOff>
      <xdr:row>2</xdr:row>
      <xdr:rowOff>115643</xdr:rowOff>
    </xdr:from>
    <xdr:to>
      <xdr:col>4</xdr:col>
      <xdr:colOff>286285</xdr:colOff>
      <xdr:row>3</xdr:row>
      <xdr:rowOff>128781</xdr:rowOff>
    </xdr:to>
    <xdr:sp macro="" textlink="'FinalAmt(City)'!I23">
      <xdr:nvSpPr>
        <xdr:cNvPr id="21" name="TextBox 20">
          <a:extLst>
            <a:ext uri="{FF2B5EF4-FFF2-40B4-BE49-F238E27FC236}">
              <a16:creationId xmlns:a16="http://schemas.microsoft.com/office/drawing/2014/main" id="{FA95FA7F-97BD-2347-88EA-3E2B435563DD}"/>
            </a:ext>
          </a:extLst>
        </xdr:cNvPr>
        <xdr:cNvSpPr txBox="1"/>
      </xdr:nvSpPr>
      <xdr:spPr>
        <a:xfrm>
          <a:off x="1851838" y="478922"/>
          <a:ext cx="879935" cy="194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F1748C-4464-4557-864B-2545B5914F51}" type="TxLink">
            <a:rPr lang="en-US" sz="1000" b="0" i="0" u="none" strike="noStrike">
              <a:solidFill>
                <a:srgbClr val="000000"/>
              </a:solidFill>
              <a:latin typeface="Calibri"/>
              <a:ea typeface="Calibri"/>
              <a:cs typeface="Calibri"/>
            </a:rPr>
            <a:pPr/>
            <a:t>1370172.561</a:t>
          </a:fld>
          <a:endParaRPr lang="en-IN" sz="1000"/>
        </a:p>
      </xdr:txBody>
    </xdr:sp>
    <xdr:clientData/>
  </xdr:twoCellAnchor>
  <xdr:twoCellAnchor>
    <xdr:from>
      <xdr:col>5</xdr:col>
      <xdr:colOff>591130</xdr:colOff>
      <xdr:row>2</xdr:row>
      <xdr:rowOff>92617</xdr:rowOff>
    </xdr:from>
    <xdr:to>
      <xdr:col>7</xdr:col>
      <xdr:colOff>153467</xdr:colOff>
      <xdr:row>3</xdr:row>
      <xdr:rowOff>109456</xdr:rowOff>
    </xdr:to>
    <xdr:sp macro="" textlink="'Grand Total'!B11">
      <xdr:nvSpPr>
        <xdr:cNvPr id="22" name="TextBox 21">
          <a:extLst>
            <a:ext uri="{FF2B5EF4-FFF2-40B4-BE49-F238E27FC236}">
              <a16:creationId xmlns:a16="http://schemas.microsoft.com/office/drawing/2014/main" id="{0E3BA4A8-F407-3B97-1339-68C181DCE3D2}"/>
            </a:ext>
          </a:extLst>
        </xdr:cNvPr>
        <xdr:cNvSpPr txBox="1"/>
      </xdr:nvSpPr>
      <xdr:spPr>
        <a:xfrm>
          <a:off x="3643340" y="454672"/>
          <a:ext cx="783221" cy="19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B40A49-2FA2-4C7F-B076-5C3B3A20D657}" type="TxLink">
            <a:rPr lang="en-US" sz="1100" b="0" i="0" u="none" strike="noStrike">
              <a:solidFill>
                <a:srgbClr val="000000"/>
              </a:solidFill>
              <a:latin typeface="Calibri"/>
              <a:ea typeface="Calibri"/>
              <a:cs typeface="Calibri"/>
            </a:rPr>
            <a:pPr/>
            <a:t>596</a:t>
          </a:fld>
          <a:endParaRPr lang="en-IN" sz="1100"/>
        </a:p>
      </xdr:txBody>
    </xdr:sp>
    <xdr:clientData/>
  </xdr:twoCellAnchor>
  <xdr:twoCellAnchor>
    <xdr:from>
      <xdr:col>9</xdr:col>
      <xdr:colOff>8419</xdr:colOff>
      <xdr:row>2</xdr:row>
      <xdr:rowOff>67360</xdr:rowOff>
    </xdr:from>
    <xdr:to>
      <xdr:col>10</xdr:col>
      <xdr:colOff>134718</xdr:colOff>
      <xdr:row>3</xdr:row>
      <xdr:rowOff>92619</xdr:rowOff>
    </xdr:to>
    <xdr:sp macro="" textlink="'total count'!B8">
      <xdr:nvSpPr>
        <xdr:cNvPr id="23" name="TextBox 22">
          <a:extLst>
            <a:ext uri="{FF2B5EF4-FFF2-40B4-BE49-F238E27FC236}">
              <a16:creationId xmlns:a16="http://schemas.microsoft.com/office/drawing/2014/main" id="{300CDFB8-3B6E-ECCA-7CE5-F13E1ED2BEB6}"/>
            </a:ext>
          </a:extLst>
        </xdr:cNvPr>
        <xdr:cNvSpPr txBox="1"/>
      </xdr:nvSpPr>
      <xdr:spPr>
        <a:xfrm>
          <a:off x="5502397" y="429415"/>
          <a:ext cx="736741" cy="206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128955-E0BC-4E9B-A974-52B17E62693C}"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xdr:from>
      <xdr:col>11</xdr:col>
      <xdr:colOff>580973</xdr:colOff>
      <xdr:row>2</xdr:row>
      <xdr:rowOff>54729</xdr:rowOff>
    </xdr:from>
    <xdr:to>
      <xdr:col>13</xdr:col>
      <xdr:colOff>172609</xdr:colOff>
      <xdr:row>3</xdr:row>
      <xdr:rowOff>88409</xdr:rowOff>
    </xdr:to>
    <xdr:sp macro="" textlink="Avg_price!B7">
      <xdr:nvSpPr>
        <xdr:cNvPr id="24" name="TextBox 23">
          <a:extLst>
            <a:ext uri="{FF2B5EF4-FFF2-40B4-BE49-F238E27FC236}">
              <a16:creationId xmlns:a16="http://schemas.microsoft.com/office/drawing/2014/main" id="{BDAAE020-7572-D0E5-645B-63D19B433EE8}"/>
            </a:ext>
          </a:extLst>
        </xdr:cNvPr>
        <xdr:cNvSpPr txBox="1"/>
      </xdr:nvSpPr>
      <xdr:spPr>
        <a:xfrm>
          <a:off x="7295835" y="416784"/>
          <a:ext cx="812520" cy="214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061D46-F91D-4D42-8EC8-F136C676F0CA}" type="TxLink">
            <a:rPr lang="en-US" sz="1100" b="0" i="0" u="none" strike="noStrike">
              <a:solidFill>
                <a:srgbClr val="000000"/>
              </a:solidFill>
              <a:latin typeface="Calibri"/>
              <a:ea typeface="Calibri"/>
              <a:cs typeface="Calibri"/>
            </a:rPr>
            <a:pPr/>
            <a:t>2530.310533</a:t>
          </a:fld>
          <a:endParaRPr lang="en-IN" sz="1100"/>
        </a:p>
      </xdr:txBody>
    </xdr:sp>
    <xdr:clientData/>
  </xdr:twoCellAnchor>
  <xdr:twoCellAnchor>
    <xdr:from>
      <xdr:col>14</xdr:col>
      <xdr:colOff>488354</xdr:colOff>
      <xdr:row>2</xdr:row>
      <xdr:rowOff>54728</xdr:rowOff>
    </xdr:from>
    <xdr:to>
      <xdr:col>16</xdr:col>
      <xdr:colOff>210498</xdr:colOff>
      <xdr:row>3</xdr:row>
      <xdr:rowOff>105247</xdr:rowOff>
    </xdr:to>
    <xdr:sp macro="" textlink="'Grand Total'!D11">
      <xdr:nvSpPr>
        <xdr:cNvPr id="25" name="TextBox 24">
          <a:extLst>
            <a:ext uri="{FF2B5EF4-FFF2-40B4-BE49-F238E27FC236}">
              <a16:creationId xmlns:a16="http://schemas.microsoft.com/office/drawing/2014/main" id="{CA90CA49-88DA-27CF-8C95-0128DAFBCD27}"/>
            </a:ext>
          </a:extLst>
        </xdr:cNvPr>
        <xdr:cNvSpPr txBox="1"/>
      </xdr:nvSpPr>
      <xdr:spPr>
        <a:xfrm>
          <a:off x="9034542" y="416783"/>
          <a:ext cx="943028" cy="231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0676E0-4641-4B00-896A-DFF4425F8C34}" type="TxLink">
            <a:rPr lang="en-US" sz="1100" b="0" i="0" u="none" strike="noStrike">
              <a:solidFill>
                <a:srgbClr val="000000"/>
              </a:solidFill>
              <a:latin typeface="Calibri"/>
              <a:ea typeface="Calibri"/>
              <a:cs typeface="Calibri"/>
            </a:rPr>
            <a:pPr/>
            <a:t>263469.359</a:t>
          </a:fld>
          <a:endParaRPr lang="en-IN" sz="1100"/>
        </a:p>
      </xdr:txBody>
    </xdr:sp>
    <xdr:clientData/>
  </xdr:twoCellAnchor>
  <xdr:twoCellAnchor editAs="oneCell">
    <xdr:from>
      <xdr:col>17</xdr:col>
      <xdr:colOff>336331</xdr:colOff>
      <xdr:row>0</xdr:row>
      <xdr:rowOff>139491</xdr:rowOff>
    </xdr:from>
    <xdr:to>
      <xdr:col>20</xdr:col>
      <xdr:colOff>246841</xdr:colOff>
      <xdr:row>9</xdr:row>
      <xdr:rowOff>80728</xdr:rowOff>
    </xdr:to>
    <mc:AlternateContent xmlns:mc="http://schemas.openxmlformats.org/markup-compatibility/2006" xmlns:a14="http://schemas.microsoft.com/office/drawing/2010/main">
      <mc:Choice Requires="a14">
        <xdr:graphicFrame macro="">
          <xdr:nvGraphicFramePr>
            <xdr:cNvPr id="28" name="month 1">
              <a:extLst>
                <a:ext uri="{FF2B5EF4-FFF2-40B4-BE49-F238E27FC236}">
                  <a16:creationId xmlns:a16="http://schemas.microsoft.com/office/drawing/2014/main" id="{9E5146BB-C909-4FA6-A344-55C2F2EA875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699531" y="139491"/>
              <a:ext cx="1739310" cy="1554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357432</xdr:colOff>
      <xdr:row>10</xdr:row>
      <xdr:rowOff>81935</xdr:rowOff>
    </xdr:from>
    <xdr:to>
      <xdr:col>20</xdr:col>
      <xdr:colOff>250915</xdr:colOff>
      <xdr:row>17</xdr:row>
      <xdr:rowOff>8194</xdr:rowOff>
    </xdr:to>
    <mc:AlternateContent xmlns:mc="http://schemas.openxmlformats.org/markup-compatibility/2006" xmlns:a14="http://schemas.microsoft.com/office/drawing/2010/main">
      <mc:Choice Requires="a14">
        <xdr:graphicFrame macro="">
          <xdr:nvGraphicFramePr>
            <xdr:cNvPr id="29" name="Category 2">
              <a:extLst>
                <a:ext uri="{FF2B5EF4-FFF2-40B4-BE49-F238E27FC236}">
                  <a16:creationId xmlns:a16="http://schemas.microsoft.com/office/drawing/2014/main" id="{83CA3632-A5B8-42BC-92EF-8DFEDB270F4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720632" y="1874876"/>
              <a:ext cx="1722283" cy="1181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155677</xdr:colOff>
      <xdr:row>2</xdr:row>
      <xdr:rowOff>40967</xdr:rowOff>
    </xdr:from>
    <xdr:to>
      <xdr:col>1</xdr:col>
      <xdr:colOff>573548</xdr:colOff>
      <xdr:row>5</xdr:row>
      <xdr:rowOff>0</xdr:rowOff>
    </xdr:to>
    <xdr:sp macro="" textlink="">
      <xdr:nvSpPr>
        <xdr:cNvPr id="4" name="Rectangle: Rounded Corners 3">
          <a:hlinkClick xmlns:r="http://schemas.openxmlformats.org/officeDocument/2006/relationships" r:id="rId5"/>
          <a:extLst>
            <a:ext uri="{FF2B5EF4-FFF2-40B4-BE49-F238E27FC236}">
              <a16:creationId xmlns:a16="http://schemas.microsoft.com/office/drawing/2014/main" id="{9B318ABF-80D9-D566-1243-475BCF878A92}"/>
            </a:ext>
          </a:extLst>
        </xdr:cNvPr>
        <xdr:cNvSpPr/>
      </xdr:nvSpPr>
      <xdr:spPr>
        <a:xfrm>
          <a:off x="155677" y="401483"/>
          <a:ext cx="1024194" cy="499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Salesman performance</a:t>
          </a:r>
        </a:p>
        <a:p>
          <a:pPr algn="l"/>
          <a:endParaRPr lang="en-IN" sz="1100"/>
        </a:p>
      </xdr:txBody>
    </xdr:sp>
    <xdr:clientData/>
  </xdr:twoCellAnchor>
  <xdr:twoCellAnchor>
    <xdr:from>
      <xdr:col>0</xdr:col>
      <xdr:colOff>176980</xdr:colOff>
      <xdr:row>18</xdr:row>
      <xdr:rowOff>45883</xdr:rowOff>
    </xdr:from>
    <xdr:to>
      <xdr:col>1</xdr:col>
      <xdr:colOff>594851</xdr:colOff>
      <xdr:row>21</xdr:row>
      <xdr:rowOff>4916</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5E095F54-3A17-19C4-81A5-E797CEBB6B1A}"/>
            </a:ext>
          </a:extLst>
        </xdr:cNvPr>
        <xdr:cNvSpPr/>
      </xdr:nvSpPr>
      <xdr:spPr>
        <a:xfrm>
          <a:off x="176980" y="3290528"/>
          <a:ext cx="1024194" cy="499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Category Performance</a:t>
          </a:r>
        </a:p>
      </xdr:txBody>
    </xdr:sp>
    <xdr:clientData/>
  </xdr:twoCellAnchor>
  <xdr:twoCellAnchor>
    <xdr:from>
      <xdr:col>0</xdr:col>
      <xdr:colOff>173702</xdr:colOff>
      <xdr:row>23</xdr:row>
      <xdr:rowOff>124541</xdr:rowOff>
    </xdr:from>
    <xdr:to>
      <xdr:col>1</xdr:col>
      <xdr:colOff>591573</xdr:colOff>
      <xdr:row>26</xdr:row>
      <xdr:rowOff>83573</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F598067F-6868-0214-FA6E-B806ECCA0955}"/>
            </a:ext>
          </a:extLst>
        </xdr:cNvPr>
        <xdr:cNvSpPr/>
      </xdr:nvSpPr>
      <xdr:spPr>
        <a:xfrm>
          <a:off x="173702" y="4270476"/>
          <a:ext cx="1024194" cy="499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Monthly</a:t>
          </a:r>
          <a:r>
            <a:rPr lang="en-IN" sz="1100" baseline="0"/>
            <a:t> performance</a:t>
          </a:r>
          <a:endParaRPr lang="en-IN" sz="1100"/>
        </a:p>
      </xdr:txBody>
    </xdr:sp>
    <xdr:clientData/>
  </xdr:twoCellAnchor>
  <xdr:twoCellAnchor>
    <xdr:from>
      <xdr:col>0</xdr:col>
      <xdr:colOff>173702</xdr:colOff>
      <xdr:row>12</xdr:row>
      <xdr:rowOff>124541</xdr:rowOff>
    </xdr:from>
    <xdr:to>
      <xdr:col>1</xdr:col>
      <xdr:colOff>591573</xdr:colOff>
      <xdr:row>15</xdr:row>
      <xdr:rowOff>83574</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C5AAB96B-1A39-D17C-6015-49362DA018D4}"/>
            </a:ext>
          </a:extLst>
        </xdr:cNvPr>
        <xdr:cNvSpPr/>
      </xdr:nvSpPr>
      <xdr:spPr>
        <a:xfrm>
          <a:off x="173702" y="2287638"/>
          <a:ext cx="1024194" cy="499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Payment Mode</a:t>
          </a:r>
        </a:p>
        <a:p>
          <a:pPr algn="l"/>
          <a:endParaRPr lang="en-IN" sz="1100"/>
        </a:p>
      </xdr:txBody>
    </xdr:sp>
    <xdr:clientData/>
  </xdr:twoCellAnchor>
  <xdr:twoCellAnchor>
    <xdr:from>
      <xdr:col>0</xdr:col>
      <xdr:colOff>170424</xdr:colOff>
      <xdr:row>7</xdr:row>
      <xdr:rowOff>22942</xdr:rowOff>
    </xdr:from>
    <xdr:to>
      <xdr:col>1</xdr:col>
      <xdr:colOff>588295</xdr:colOff>
      <xdr:row>9</xdr:row>
      <xdr:rowOff>162232</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8CE0E3DD-7110-29DA-6B8A-D4912C0E9694}"/>
            </a:ext>
          </a:extLst>
        </xdr:cNvPr>
        <xdr:cNvSpPr/>
      </xdr:nvSpPr>
      <xdr:spPr>
        <a:xfrm>
          <a:off x="170424" y="1284748"/>
          <a:ext cx="1024194" cy="4998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City performance</a:t>
          </a:r>
        </a:p>
      </xdr:txBody>
    </xdr:sp>
    <xdr:clientData/>
  </xdr:twoCellAnchor>
  <xdr:twoCellAnchor>
    <xdr:from>
      <xdr:col>28</xdr:col>
      <xdr:colOff>56148</xdr:colOff>
      <xdr:row>7</xdr:row>
      <xdr:rowOff>16042</xdr:rowOff>
    </xdr:from>
    <xdr:to>
      <xdr:col>35</xdr:col>
      <xdr:colOff>360948</xdr:colOff>
      <xdr:row>21</xdr:row>
      <xdr:rowOff>176463</xdr:rowOff>
    </xdr:to>
    <xdr:graphicFrame macro="">
      <xdr:nvGraphicFramePr>
        <xdr:cNvPr id="27" name="Chart 26">
          <a:extLst>
            <a:ext uri="{FF2B5EF4-FFF2-40B4-BE49-F238E27FC236}">
              <a16:creationId xmlns:a16="http://schemas.microsoft.com/office/drawing/2014/main" id="{81AF41AC-0970-4E01-A025-22AC8423D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300407</xdr:colOff>
      <xdr:row>15</xdr:row>
      <xdr:rowOff>127393</xdr:rowOff>
    </xdr:from>
    <xdr:to>
      <xdr:col>8</xdr:col>
      <xdr:colOff>110408</xdr:colOff>
      <xdr:row>28</xdr:row>
      <xdr:rowOff>0</xdr:rowOff>
    </xdr:to>
    <xdr:graphicFrame macro="">
      <xdr:nvGraphicFramePr>
        <xdr:cNvPr id="30" name="Chart 29">
          <a:extLst>
            <a:ext uri="{FF2B5EF4-FFF2-40B4-BE49-F238E27FC236}">
              <a16:creationId xmlns:a16="http://schemas.microsoft.com/office/drawing/2014/main" id="{14CCB886-2207-495C-AC40-7879EC785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322730</xdr:colOff>
      <xdr:row>18</xdr:row>
      <xdr:rowOff>62753</xdr:rowOff>
    </xdr:from>
    <xdr:to>
      <xdr:col>20</xdr:col>
      <xdr:colOff>332669</xdr:colOff>
      <xdr:row>26</xdr:row>
      <xdr:rowOff>8965</xdr:rowOff>
    </xdr:to>
    <mc:AlternateContent xmlns:mc="http://schemas.openxmlformats.org/markup-compatibility/2006" xmlns:a14="http://schemas.microsoft.com/office/drawing/2010/main">
      <mc:Choice Requires="a14">
        <xdr:graphicFrame macro="">
          <xdr:nvGraphicFramePr>
            <xdr:cNvPr id="16" name="Order_Status 2">
              <a:extLst>
                <a:ext uri="{FF2B5EF4-FFF2-40B4-BE49-F238E27FC236}">
                  <a16:creationId xmlns:a16="http://schemas.microsoft.com/office/drawing/2014/main" id="{D3E89267-CEC0-4F48-AAC9-F7CF8AD2E8BC}"/>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mlns="">
        <xdr:sp macro="" textlink="">
          <xdr:nvSpPr>
            <xdr:cNvPr id="0" name=""/>
            <xdr:cNvSpPr>
              <a:spLocks noTextEdit="1"/>
            </xdr:cNvSpPr>
          </xdr:nvSpPr>
          <xdr:spPr>
            <a:xfrm>
              <a:off x="10685930" y="3290047"/>
              <a:ext cx="1838739" cy="1380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22</xdr:col>
      <xdr:colOff>553063</xdr:colOff>
      <xdr:row>53</xdr:row>
      <xdr:rowOff>12291</xdr:rowOff>
    </xdr:to>
    <xdr:sp macro="" textlink="">
      <xdr:nvSpPr>
        <xdr:cNvPr id="5" name="Rectangle 4">
          <a:extLst>
            <a:ext uri="{FF2B5EF4-FFF2-40B4-BE49-F238E27FC236}">
              <a16:creationId xmlns:a16="http://schemas.microsoft.com/office/drawing/2014/main" id="{087B7523-5A10-6B10-41F6-3F81A3CC5687}"/>
            </a:ext>
          </a:extLst>
        </xdr:cNvPr>
        <xdr:cNvSpPr/>
      </xdr:nvSpPr>
      <xdr:spPr>
        <a:xfrm>
          <a:off x="0" y="1"/>
          <a:ext cx="14072418" cy="97830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schemeClr>
            </a:solidFill>
          </a:endParaRPr>
        </a:p>
      </xdr:txBody>
    </xdr:sp>
    <xdr:clientData/>
  </xdr:twoCellAnchor>
  <xdr:twoCellAnchor>
    <xdr:from>
      <xdr:col>0</xdr:col>
      <xdr:colOff>102684</xdr:colOff>
      <xdr:row>0</xdr:row>
      <xdr:rowOff>157475</xdr:rowOff>
    </xdr:from>
    <xdr:to>
      <xdr:col>3</xdr:col>
      <xdr:colOff>339169</xdr:colOff>
      <xdr:row>6</xdr:row>
      <xdr:rowOff>96165</xdr:rowOff>
    </xdr:to>
    <xdr:sp macro="" textlink="">
      <xdr:nvSpPr>
        <xdr:cNvPr id="8" name="Rectangle: Rounded Corners 7">
          <a:extLst>
            <a:ext uri="{FF2B5EF4-FFF2-40B4-BE49-F238E27FC236}">
              <a16:creationId xmlns:a16="http://schemas.microsoft.com/office/drawing/2014/main" id="{167B423E-55CF-3C32-42CB-A34F14EF8A65}"/>
            </a:ext>
          </a:extLst>
        </xdr:cNvPr>
        <xdr:cNvSpPr/>
      </xdr:nvSpPr>
      <xdr:spPr>
        <a:xfrm>
          <a:off x="102684" y="157475"/>
          <a:ext cx="2065285" cy="1049033"/>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Total Sales</a:t>
          </a:r>
        </a:p>
      </xdr:txBody>
    </xdr:sp>
    <xdr:clientData/>
  </xdr:twoCellAnchor>
  <xdr:twoCellAnchor>
    <xdr:from>
      <xdr:col>1</xdr:col>
      <xdr:colOff>227555</xdr:colOff>
      <xdr:row>3</xdr:row>
      <xdr:rowOff>137298</xdr:rowOff>
    </xdr:from>
    <xdr:to>
      <xdr:col>2</xdr:col>
      <xdr:colOff>479714</xdr:colOff>
      <xdr:row>5</xdr:row>
      <xdr:rowOff>4432</xdr:rowOff>
    </xdr:to>
    <xdr:sp macro="" textlink="'FinalAmt(City)'!I23">
      <xdr:nvSpPr>
        <xdr:cNvPr id="9" name="TextBox 8">
          <a:extLst>
            <a:ext uri="{FF2B5EF4-FFF2-40B4-BE49-F238E27FC236}">
              <a16:creationId xmlns:a16="http://schemas.microsoft.com/office/drawing/2014/main" id="{F4C3FE50-D72B-5F90-7EEB-2A7C178CEF2B}"/>
            </a:ext>
          </a:extLst>
        </xdr:cNvPr>
        <xdr:cNvSpPr txBox="1"/>
      </xdr:nvSpPr>
      <xdr:spPr>
        <a:xfrm>
          <a:off x="837155" y="688016"/>
          <a:ext cx="861759" cy="23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F0B0F6-D8F1-4BF4-B6AD-8C60179714EA}" type="TxLink">
            <a:rPr lang="en-US" sz="1100" b="0" i="0" u="none" strike="noStrike">
              <a:solidFill>
                <a:srgbClr val="000000"/>
              </a:solidFill>
              <a:latin typeface="Calibri"/>
              <a:ea typeface="Calibri"/>
              <a:cs typeface="Calibri"/>
            </a:rPr>
            <a:pPr/>
            <a:t>1370172.561</a:t>
          </a:fld>
          <a:endParaRPr lang="en-IN" sz="1100"/>
        </a:p>
      </xdr:txBody>
    </xdr:sp>
    <xdr:clientData/>
  </xdr:twoCellAnchor>
  <xdr:twoCellAnchor>
    <xdr:from>
      <xdr:col>3</xdr:col>
      <xdr:colOff>596169</xdr:colOff>
      <xdr:row>0</xdr:row>
      <xdr:rowOff>151427</xdr:rowOff>
    </xdr:from>
    <xdr:to>
      <xdr:col>7</xdr:col>
      <xdr:colOff>225876</xdr:colOff>
      <xdr:row>6</xdr:row>
      <xdr:rowOff>90117</xdr:rowOff>
    </xdr:to>
    <xdr:sp macro="" textlink="">
      <xdr:nvSpPr>
        <xdr:cNvPr id="10" name="Rectangle: Rounded Corners 9">
          <a:extLst>
            <a:ext uri="{FF2B5EF4-FFF2-40B4-BE49-F238E27FC236}">
              <a16:creationId xmlns:a16="http://schemas.microsoft.com/office/drawing/2014/main" id="{736515B9-7737-E42C-C8B2-AD3FEDDE8141}"/>
            </a:ext>
          </a:extLst>
        </xdr:cNvPr>
        <xdr:cNvSpPr/>
      </xdr:nvSpPr>
      <xdr:spPr>
        <a:xfrm>
          <a:off x="2416502" y="151427"/>
          <a:ext cx="2056818" cy="1039357"/>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268792</xdr:colOff>
      <xdr:row>1</xdr:row>
      <xdr:rowOff>49829</xdr:rowOff>
    </xdr:from>
    <xdr:to>
      <xdr:col>19</xdr:col>
      <xdr:colOff>505276</xdr:colOff>
      <xdr:row>6</xdr:row>
      <xdr:rowOff>171963</xdr:rowOff>
    </xdr:to>
    <xdr:sp macro="" textlink="">
      <xdr:nvSpPr>
        <xdr:cNvPr id="11" name="Rectangle: Rounded Corners 10">
          <a:extLst>
            <a:ext uri="{FF2B5EF4-FFF2-40B4-BE49-F238E27FC236}">
              <a16:creationId xmlns:a16="http://schemas.microsoft.com/office/drawing/2014/main" id="{1BBE5C64-CB5B-9340-5142-158B31D0EE05}"/>
            </a:ext>
          </a:extLst>
        </xdr:cNvPr>
        <xdr:cNvSpPr/>
      </xdr:nvSpPr>
      <xdr:spPr>
        <a:xfrm>
          <a:off x="9977236" y="233273"/>
          <a:ext cx="2056818" cy="1039357"/>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164671</xdr:colOff>
      <xdr:row>1</xdr:row>
      <xdr:rowOff>23822</xdr:rowOff>
    </xdr:from>
    <xdr:to>
      <xdr:col>15</xdr:col>
      <xdr:colOff>401155</xdr:colOff>
      <xdr:row>6</xdr:row>
      <xdr:rowOff>139405</xdr:rowOff>
    </xdr:to>
    <xdr:sp macro="" textlink="">
      <xdr:nvSpPr>
        <xdr:cNvPr id="12" name="Rectangle: Rounded Corners 11">
          <a:extLst>
            <a:ext uri="{FF2B5EF4-FFF2-40B4-BE49-F238E27FC236}">
              <a16:creationId xmlns:a16="http://schemas.microsoft.com/office/drawing/2014/main" id="{8BA8BA10-05F3-216C-2C77-FE78D36890E3}"/>
            </a:ext>
          </a:extLst>
        </xdr:cNvPr>
        <xdr:cNvSpPr/>
      </xdr:nvSpPr>
      <xdr:spPr>
        <a:xfrm>
          <a:off x="7512528" y="200715"/>
          <a:ext cx="2073448" cy="1000047"/>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23258</xdr:colOff>
      <xdr:row>0</xdr:row>
      <xdr:rowOff>157071</xdr:rowOff>
    </xdr:from>
    <xdr:to>
      <xdr:col>11</xdr:col>
      <xdr:colOff>259742</xdr:colOff>
      <xdr:row>6</xdr:row>
      <xdr:rowOff>95761</xdr:rowOff>
    </xdr:to>
    <xdr:sp macro="" textlink="">
      <xdr:nvSpPr>
        <xdr:cNvPr id="13" name="Rectangle: Rounded Corners 12">
          <a:extLst>
            <a:ext uri="{FF2B5EF4-FFF2-40B4-BE49-F238E27FC236}">
              <a16:creationId xmlns:a16="http://schemas.microsoft.com/office/drawing/2014/main" id="{1F90A62E-9DF6-AFF2-A37A-D8BAAC92E24A}"/>
            </a:ext>
          </a:extLst>
        </xdr:cNvPr>
        <xdr:cNvSpPr/>
      </xdr:nvSpPr>
      <xdr:spPr>
        <a:xfrm>
          <a:off x="4877480" y="157071"/>
          <a:ext cx="2056818" cy="1039357"/>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241018</xdr:colOff>
      <xdr:row>7</xdr:row>
      <xdr:rowOff>169333</xdr:rowOff>
    </xdr:from>
    <xdr:to>
      <xdr:col>3</xdr:col>
      <xdr:colOff>259424</xdr:colOff>
      <xdr:row>16</xdr:row>
      <xdr:rowOff>0</xdr:rowOff>
    </xdr:to>
    <mc:AlternateContent xmlns:mc="http://schemas.openxmlformats.org/markup-compatibility/2006" xmlns:a14="http://schemas.microsoft.com/office/drawing/2010/main">
      <mc:Choice Requires="a14">
        <xdr:graphicFrame macro="">
          <xdr:nvGraphicFramePr>
            <xdr:cNvPr id="14" name="Salesperson 1">
              <a:extLst>
                <a:ext uri="{FF2B5EF4-FFF2-40B4-BE49-F238E27FC236}">
                  <a16:creationId xmlns:a16="http://schemas.microsoft.com/office/drawing/2014/main" id="{33290BDD-65BA-4332-A0EF-49FD91F3042E}"/>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41018" y="1453444"/>
              <a:ext cx="1838739" cy="1481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579684</xdr:colOff>
      <xdr:row>7</xdr:row>
      <xdr:rowOff>112890</xdr:rowOff>
    </xdr:from>
    <xdr:to>
      <xdr:col>6</xdr:col>
      <xdr:colOff>591794</xdr:colOff>
      <xdr:row>17</xdr:row>
      <xdr:rowOff>56445</xdr:rowOff>
    </xdr:to>
    <mc:AlternateContent xmlns:mc="http://schemas.openxmlformats.org/markup-compatibility/2006" xmlns:a14="http://schemas.microsoft.com/office/drawing/2010/main">
      <mc:Choice Requires="a14">
        <xdr:graphicFrame macro="">
          <xdr:nvGraphicFramePr>
            <xdr:cNvPr id="15" name="City 1">
              <a:extLst>
                <a:ext uri="{FF2B5EF4-FFF2-40B4-BE49-F238E27FC236}">
                  <a16:creationId xmlns:a16="http://schemas.microsoft.com/office/drawing/2014/main" id="{8D6B6502-903F-43C3-9CBD-3A9236BFE66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400017" y="1397001"/>
              <a:ext cx="1832444"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29351</xdr:colOff>
      <xdr:row>7</xdr:row>
      <xdr:rowOff>127000</xdr:rowOff>
    </xdr:from>
    <xdr:to>
      <xdr:col>11</xdr:col>
      <xdr:colOff>47756</xdr:colOff>
      <xdr:row>14</xdr:row>
      <xdr:rowOff>0</xdr:rowOff>
    </xdr:to>
    <mc:AlternateContent xmlns:mc="http://schemas.openxmlformats.org/markup-compatibility/2006" xmlns:a14="http://schemas.microsoft.com/office/drawing/2010/main">
      <mc:Choice Requires="a14">
        <xdr:graphicFrame macro="">
          <xdr:nvGraphicFramePr>
            <xdr:cNvPr id="16" name="Payment_Mode 1">
              <a:extLst>
                <a:ext uri="{FF2B5EF4-FFF2-40B4-BE49-F238E27FC236}">
                  <a16:creationId xmlns:a16="http://schemas.microsoft.com/office/drawing/2014/main" id="{06570A48-3E7F-4AF8-9F48-C5618ED08838}"/>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4883573" y="1411111"/>
              <a:ext cx="1838739" cy="1157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170464</xdr:colOff>
      <xdr:row>7</xdr:row>
      <xdr:rowOff>84669</xdr:rowOff>
    </xdr:from>
    <xdr:to>
      <xdr:col>15</xdr:col>
      <xdr:colOff>188869</xdr:colOff>
      <xdr:row>14</xdr:row>
      <xdr:rowOff>56446</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B2E24040-E6F9-427B-B4B2-1BDA548DC21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51797" y="1368780"/>
              <a:ext cx="1838739" cy="1255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534529</xdr:colOff>
      <xdr:row>7</xdr:row>
      <xdr:rowOff>110067</xdr:rowOff>
    </xdr:from>
    <xdr:to>
      <xdr:col>18</xdr:col>
      <xdr:colOff>552935</xdr:colOff>
      <xdr:row>15</xdr:row>
      <xdr:rowOff>112889</xdr:rowOff>
    </xdr:to>
    <mc:AlternateContent xmlns:mc="http://schemas.openxmlformats.org/markup-compatibility/2006" xmlns:a14="http://schemas.microsoft.com/office/drawing/2010/main">
      <mc:Choice Requires="a14">
        <xdr:graphicFrame macro="">
          <xdr:nvGraphicFramePr>
            <xdr:cNvPr id="18" name="Order_Status 1">
              <a:extLst>
                <a:ext uri="{FF2B5EF4-FFF2-40B4-BE49-F238E27FC236}">
                  <a16:creationId xmlns:a16="http://schemas.microsoft.com/office/drawing/2014/main" id="{5FA31188-F93A-4F54-8963-B3A774FE76B2}"/>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9636196" y="1394178"/>
              <a:ext cx="1838739" cy="1470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169333</xdr:colOff>
      <xdr:row>17</xdr:row>
      <xdr:rowOff>169334</xdr:rowOff>
    </xdr:from>
    <xdr:to>
      <xdr:col>7</xdr:col>
      <xdr:colOff>517080</xdr:colOff>
      <xdr:row>32</xdr:row>
      <xdr:rowOff>150929</xdr:rowOff>
    </xdr:to>
    <xdr:graphicFrame macro="">
      <xdr:nvGraphicFramePr>
        <xdr:cNvPr id="19" name="Chart 18">
          <a:extLst>
            <a:ext uri="{FF2B5EF4-FFF2-40B4-BE49-F238E27FC236}">
              <a16:creationId xmlns:a16="http://schemas.microsoft.com/office/drawing/2014/main" id="{7FA844E8-4A1F-45EE-97E1-4B3682A7C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98777</xdr:colOff>
      <xdr:row>17</xdr:row>
      <xdr:rowOff>169336</xdr:rowOff>
    </xdr:from>
    <xdr:to>
      <xdr:col>16</xdr:col>
      <xdr:colOff>371239</xdr:colOff>
      <xdr:row>33</xdr:row>
      <xdr:rowOff>0</xdr:rowOff>
    </xdr:to>
    <xdr:graphicFrame macro="">
      <xdr:nvGraphicFramePr>
        <xdr:cNvPr id="20" name="Chart 19">
          <a:extLst>
            <a:ext uri="{FF2B5EF4-FFF2-40B4-BE49-F238E27FC236}">
              <a16:creationId xmlns:a16="http://schemas.microsoft.com/office/drawing/2014/main" id="{543AF4EA-1F13-49C0-9607-F957E0F9A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56444</xdr:colOff>
      <xdr:row>33</xdr:row>
      <xdr:rowOff>169334</xdr:rowOff>
    </xdr:from>
    <xdr:to>
      <xdr:col>8</xdr:col>
      <xdr:colOff>328906</xdr:colOff>
      <xdr:row>50</xdr:row>
      <xdr:rowOff>73686</xdr:rowOff>
    </xdr:to>
    <xdr:graphicFrame macro="">
      <xdr:nvGraphicFramePr>
        <xdr:cNvPr id="21" name="Chart 20">
          <a:extLst>
            <a:ext uri="{FF2B5EF4-FFF2-40B4-BE49-F238E27FC236}">
              <a16:creationId xmlns:a16="http://schemas.microsoft.com/office/drawing/2014/main" id="{973E6BC6-9C17-440E-B04D-8991BBE0B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84667</xdr:colOff>
      <xdr:row>18</xdr:row>
      <xdr:rowOff>0</xdr:rowOff>
    </xdr:from>
    <xdr:to>
      <xdr:col>22</xdr:col>
      <xdr:colOff>155223</xdr:colOff>
      <xdr:row>32</xdr:row>
      <xdr:rowOff>174978</xdr:rowOff>
    </xdr:to>
    <xdr:graphicFrame macro="">
      <xdr:nvGraphicFramePr>
        <xdr:cNvPr id="22" name="Chart 21">
          <a:extLst>
            <a:ext uri="{FF2B5EF4-FFF2-40B4-BE49-F238E27FC236}">
              <a16:creationId xmlns:a16="http://schemas.microsoft.com/office/drawing/2014/main" id="{10636632-B0A3-48F4-81AD-A62C042BF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437445</xdr:colOff>
      <xdr:row>34</xdr:row>
      <xdr:rowOff>0</xdr:rowOff>
    </xdr:from>
    <xdr:to>
      <xdr:col>18</xdr:col>
      <xdr:colOff>214207</xdr:colOff>
      <xdr:row>50</xdr:row>
      <xdr:rowOff>56445</xdr:rowOff>
    </xdr:to>
    <xdr:graphicFrame macro="">
      <xdr:nvGraphicFramePr>
        <xdr:cNvPr id="24" name="Chart 23">
          <a:extLst>
            <a:ext uri="{FF2B5EF4-FFF2-40B4-BE49-F238E27FC236}">
              <a16:creationId xmlns:a16="http://schemas.microsoft.com/office/drawing/2014/main" id="{0A7DA293-C070-4720-A5FD-B77E6F669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185933</xdr:colOff>
      <xdr:row>2</xdr:row>
      <xdr:rowOff>161959</xdr:rowOff>
    </xdr:from>
    <xdr:to>
      <xdr:col>1</xdr:col>
      <xdr:colOff>141515</xdr:colOff>
      <xdr:row>6</xdr:row>
      <xdr:rowOff>14693</xdr:rowOff>
    </xdr:to>
    <xdr:pic>
      <xdr:nvPicPr>
        <xdr:cNvPr id="3" name="Graphic 2" descr="Dollar with solid fill">
          <a:extLst>
            <a:ext uri="{FF2B5EF4-FFF2-40B4-BE49-F238E27FC236}">
              <a16:creationId xmlns:a16="http://schemas.microsoft.com/office/drawing/2014/main" id="{35A76F9C-D25F-BE7F-4221-39CE6331CA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5933" y="532073"/>
          <a:ext cx="565182" cy="59296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salaPrabhas" refreshedDate="46239.637344444447" createdVersion="8" refreshedVersion="8" minRefreshableVersion="3" recordCount="300" xr:uid="{35B0AD4B-C894-424C-BC28-8BB92EA830B7}">
  <cacheSource type="worksheet">
    <worksheetSource name="Table1"/>
  </cacheSource>
  <cacheFields count="17">
    <cacheField name="Order_ID" numFmtId="0">
      <sharedItems containsSemiMixedTypes="0" containsString="0" containsNumber="1" containsInteger="1" minValue="1001" maxValue="1300" count="299">
        <n v="1001"/>
        <n v="1002"/>
        <n v="1003"/>
        <n v="1004"/>
        <n v="1005"/>
        <n v="1006"/>
        <n v="1007"/>
        <n v="1008"/>
        <n v="1009"/>
        <n v="1010"/>
        <n v="1011"/>
        <n v="1012"/>
        <n v="1013"/>
        <n v="1014"/>
        <n v="1015"/>
        <n v="1016"/>
        <n v="1017"/>
        <n v="1018"/>
        <n v="1019"/>
        <n v="1020"/>
        <n v="1021"/>
        <n v="1022"/>
        <n v="1023"/>
        <n v="1024"/>
        <n v="1025"/>
        <n v="1026"/>
        <n v="1027"/>
        <n v="1028"/>
        <n v="1029"/>
        <n v="1030"/>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sharedItems>
    </cacheField>
    <cacheField name="Order_Date" numFmtId="0">
      <sharedItems/>
    </cacheField>
    <cacheField name="Customer" numFmtId="0">
      <sharedItems/>
    </cacheField>
    <cacheField name="City" numFmtId="0">
      <sharedItems count="5">
        <s v="Hyderabad"/>
        <s v="Delhi"/>
        <s v="Mumbai"/>
        <s v="Bengaluru"/>
        <s v="Chennai"/>
      </sharedItems>
    </cacheField>
    <cacheField name="Category" numFmtId="0">
      <sharedItems count="3">
        <s v="Electronics"/>
        <s v="Furniture"/>
        <s v="Office Supplies"/>
      </sharedItems>
    </cacheField>
    <cacheField name="Product" numFmtId="0">
      <sharedItems count="6">
        <s v="Laptop"/>
        <s v="Keyboard"/>
        <s v="Printer"/>
        <s v="Desk"/>
        <s v="Chair"/>
        <s v="Monitor"/>
      </sharedItems>
    </cacheField>
    <cacheField name="Quantity" numFmtId="0">
      <sharedItems containsSemiMixedTypes="0" containsString="0" containsNumber="1" containsInteger="1" minValue="-3" maxValue="10"/>
    </cacheField>
    <cacheField name="Unit_Price" numFmtId="0">
      <sharedItems containsSemiMixedTypes="0" containsString="0" containsNumber="1" minValue="140.54" maxValue="4998.67"/>
    </cacheField>
    <cacheField name="Discount" numFmtId="0">
      <sharedItems containsSemiMixedTypes="0" containsString="0" containsNumber="1" containsInteger="1" minValue="0" maxValue="55"/>
    </cacheField>
    <cacheField name="Salesperson" numFmtId="0">
      <sharedItems count="4">
        <s v="John"/>
        <s v="Amit"/>
        <s v="Sneha"/>
        <s v="Priya"/>
      </sharedItems>
    </cacheField>
    <cacheField name="Payment_Mode" numFmtId="0">
      <sharedItems count="3">
        <s v="Card"/>
        <s v="UPI"/>
        <s v="Cash"/>
      </sharedItems>
    </cacheField>
    <cacheField name="Order_Status" numFmtId="0">
      <sharedItems count="4">
        <s v="Pending"/>
        <s v="Delivered"/>
        <s v="Cancelled"/>
        <s v="deliverd"/>
      </sharedItems>
    </cacheField>
    <cacheField name="Sales amount" numFmtId="0">
      <sharedItems containsSemiMixedTypes="0" containsString="0" containsNumber="1" minValue="-10876.5" maxValue="47485.100000000006"/>
    </cacheField>
    <cacheField name="Discount amount" numFmtId="0">
      <sharedItems containsSemiMixedTypes="0" containsString="0" containsNumber="1" minValue="-1631.4749999999999" maxValue="11283.328000000003"/>
    </cacheField>
    <cacheField name="Final amount" numFmtId="0">
      <sharedItems containsSemiMixedTypes="0" containsString="0" containsNumber="1" minValue="-9245.0249999999996" maxValue="42199.76" count="299">
        <n v="5013.7335000000003"/>
        <n v="29270.506999999998"/>
        <n v="4947.6880000000001"/>
        <n v="5794.0343999999996"/>
        <n v="5418.5375999999997"/>
        <n v="15113.498400000002"/>
        <n v="37994.918399999995"/>
        <n v="8688.5480000000007"/>
        <n v="19370.715"/>
        <n v="1750.77"/>
        <n v="5260.8797999999997"/>
        <n v="2329.67"/>
        <n v="9647.601999999999"/>
        <n v="21333.375"/>
        <n v="538.06110000000001"/>
        <n v="7050"/>
        <n v="17165.043000000001"/>
        <n v="3801.0279999999998"/>
        <n v="3310.2636000000002"/>
        <n v="28551.699000000001"/>
        <n v="7102.646999999999"/>
        <n v="5752.0124999999989"/>
        <n v="11957.881600000001"/>
        <n v="24820.862399999998"/>
        <n v="38219.707999999999"/>
        <n v="26991.354600000002"/>
        <n v="6081.2217000000001"/>
        <n v="1309.2087999999999"/>
        <n v="9344.3976000000002"/>
        <n v="10801.367999999999"/>
        <n v="11406.954600000001"/>
        <n v="13342.700800000001"/>
        <n v="19156.824000000001"/>
        <n v="8931.0749999999989"/>
        <n v="37805.357700000008"/>
        <n v="16264.838999999998"/>
        <n v="11363.273000000001"/>
        <n v="12681.8496"/>
        <n v="33615.436499999996"/>
        <n v="8541.8340000000007"/>
        <n v="14982.3352"/>
        <n v="1106.2528"/>
        <n v="2724.6150000000002"/>
        <n v="6806.7365999999993"/>
        <n v="33603.75"/>
        <n v="1972.1559999999999"/>
        <n v="1921.8864000000001"/>
        <n v="17024.133600000001"/>
        <n v="5123.9807999999994"/>
        <n v="-9245.0249999999996"/>
        <n v="3650.5226000000002"/>
        <n v="1718.7072000000001"/>
        <n v="15417.568000000001"/>
        <n v="24494.462"/>
        <n v="26773.286400000001"/>
        <n v="13071.494799999999"/>
        <n v="5032.3148999999994"/>
        <n v="31472.179199999999"/>
        <n v="31200.624000000003"/>
        <n v="1050.42"/>
        <n v="3436.3035"/>
        <n v="5195.1900000000005"/>
        <n v="7351.7747999999992"/>
        <n v="12060.580000000002"/>
        <n v="20054.692800000001"/>
        <n v="19095.599999999999"/>
        <n v="9568.0992000000006"/>
        <n v="5853.6645000000008"/>
        <n v="5862.78"/>
        <n v="6869.4791999999998"/>
        <n v="27076.301999999996"/>
        <n v="14637.696"/>
        <n v="11928.838400000001"/>
        <n v="5890.3937999999998"/>
        <n v="1812.9450000000002"/>
        <n v="39963.653099999996"/>
        <n v="1937.8905000000002"/>
        <n v="2482.14"/>
        <n v="26999.109"/>
        <n v="2456.377"/>
        <n v="18481.386399999999"/>
        <n v="6308.0159999999996"/>
        <n v="4795.0704000000005"/>
        <n v="30470.38"/>
        <n v="905.83500000000004"/>
        <n v="7462.4390000000003"/>
        <n v="22038.195"/>
        <n v="42199.76"/>
        <n v="20470.7088"/>
        <n v="22540.542000000001"/>
        <n v="15695.08"/>
        <n v="4204.7640000000001"/>
        <n v="10846.698400000001"/>
        <n v="15780.860399999998"/>
        <n v="20597.553599999999"/>
        <n v="11741.24"/>
        <n v="4144.9772000000003"/>
        <n v="15243.6615"/>
        <n v="23226.517500000002"/>
        <n v="7635.7349999999997"/>
        <n v="12483.1476"/>
        <n v="9734.4660000000003"/>
        <n v="1635.8152"/>
        <n v="551.66"/>
        <n v="14623.14"/>
        <n v="21822.096000000001"/>
        <n v="19212.495999999999"/>
        <n v="1235.088"/>
        <n v="24365.964"/>
        <n v="8115.6215999999995"/>
        <n v="26300.8989"/>
        <n v="3021.2400000000002"/>
        <n v="7350.9228000000003"/>
        <n v="8494.3169999999991"/>
        <n v="9517.2800000000007"/>
        <n v="3277.848"/>
        <n v="1804.9852000000001"/>
        <n v="2586.9402"/>
        <n v="17854.261999999999"/>
        <n v="14404.476799999999"/>
        <n v="2289.63"/>
        <n v="12951.2835"/>
        <n v="18143.976000000002"/>
        <n v="40362.335000000006"/>
        <n v="9687.2444999999989"/>
        <n v="18935.254799999999"/>
        <n v="23955.217999999997"/>
        <n v="3886.3054999999995"/>
        <n v="6381.2892000000002"/>
        <n v="7057.6271999999999"/>
        <n v="6358.4838"/>
        <n v="4167.1875"/>
        <n v="5719.4748"/>
        <n v="2159.6455999999998"/>
        <n v="30723.512000000002"/>
        <n v="23529.326399999998"/>
        <n v="2598.3072000000002"/>
        <n v="8648.8109999999997"/>
        <n v="9106.5743999999995"/>
        <n v="33902.179000000004"/>
        <n v="14111.148000000001"/>
        <n v="2117.9735999999998"/>
        <n v="6042.6179999999995"/>
        <n v="1896.2417999999998"/>
        <n v="38418.215000000004"/>
        <n v="2047.8919999999998"/>
        <n v="9959.3819999999996"/>
        <n v="1504.02"/>
        <n v="22372.383999999998"/>
        <n v="16145.737300000001"/>
        <n v="13168.439999999999"/>
        <n v="2017.0305000000003"/>
        <n v="13195.871999999998"/>
        <n v="2983.9079999999999"/>
        <n v="4835.2753999999995"/>
        <n v="3974.5251000000007"/>
        <n v="38259.1"/>
        <n v="4612.6583999999993"/>
        <n v="1866.8832"/>
        <n v="15816.486399999998"/>
        <n v="2285.5544"/>
        <n v="19846.063999999998"/>
        <n v="3025.6176"/>
        <n v="6601.0655999999999"/>
        <n v="6642.8928000000005"/>
        <n v="11890.929599999999"/>
        <n v="7916.6085000000012"/>
        <n v="2037.84"/>
        <n v="2824.5839999999998"/>
        <n v="1200.116"/>
        <n v="12189.36"/>
        <n v="20006.406000000003"/>
        <n v="7100.2601999999997"/>
        <n v="1664.3798999999999"/>
        <n v="5919.6095999999998"/>
        <n v="26396.41"/>
        <n v="20663.982000000004"/>
        <n v="20966.986499999999"/>
        <n v="4392.4481999999998"/>
        <n v="16729.494000000002"/>
        <n v="1387.9173000000001"/>
        <n v="9992.6784000000007"/>
        <n v="2569.5884999999998"/>
        <n v="15327.981999999998"/>
        <n v="15938.191199999999"/>
        <n v="12437.5818"/>
        <n v="28318.524000000001"/>
        <n v="19514.292000000001"/>
        <n v="20974.5648"/>
        <n v="10293.6312"/>
        <n v="815.16600000000005"/>
        <n v="11374.128000000001"/>
        <n v="1303.9280000000001"/>
        <n v="3223.6704"/>
        <n v="8071.5880000000006"/>
        <n v="2997.12"/>
        <n v="4965.232"/>
        <n v="12006.986400000002"/>
        <n v="11929.3356"/>
        <n v="7012.4"/>
        <n v="23384.366399999999"/>
        <n v="207.99919999999997"/>
        <n v="22094.794000000002"/>
        <n v="2470.9827"/>
        <n v="29838.553600000003"/>
        <n v="4199.9580000000005"/>
        <n v="2150.3639999999996"/>
        <n v="8589.1553999999996"/>
        <n v="2619.3023999999996"/>
        <n v="8532.1460000000006"/>
        <n v="8487.2880000000005"/>
        <n v="774.75919999999996"/>
        <n v="17584.4928"/>
        <n v="2281.1970000000001"/>
        <n v="29125.9856"/>
        <n v="6025.7120000000004"/>
        <n v="5501.3640000000005"/>
        <n v="3644.6886"/>
        <n v="4719.9528"/>
        <n v="40893.489000000001"/>
        <n v="25241.771099999998"/>
        <n v="7022.4680000000008"/>
        <n v="3865.7479999999996"/>
        <n v="7237.9359999999997"/>
        <n v="29070.384000000005"/>
        <n v="3849.1739999999995"/>
        <n v="7148.1071999999995"/>
        <n v="30907.712"/>
        <n v="15499.8"/>
        <n v="26823.552000000003"/>
        <n v="4335.3436000000002"/>
        <n v="14479.372800000001"/>
        <n v="13414.8"/>
        <n v="15780.012000000001"/>
        <n v="19256.025600000001"/>
        <n v="1563.0419999999999"/>
        <n v="2675.6909000000001"/>
        <n v="11703.7719"/>
        <n v="24609.211200000002"/>
        <n v="13394.880000000001"/>
        <n v="10083.227199999999"/>
        <n v="29014.272000000004"/>
        <n v="3824.73"/>
        <n v="14063.903999999999"/>
        <n v="11540.872500000001"/>
        <n v="31970.9"/>
        <n v="1971.3600000000001"/>
        <n v="14794.142400000001"/>
        <n v="1653.692"/>
        <n v="5616.0751999999993"/>
        <n v="18386.517599999999"/>
        <n v="4189.8087000000005"/>
        <n v="33452.243999999999"/>
        <n v="1638.9520000000002"/>
        <n v="18079.740000000002"/>
        <n v="8197.8188000000009"/>
        <n v="3720.4832000000001"/>
        <n v="12154.1392"/>
        <n v="8390.3320000000003"/>
        <n v="27598.407200000001"/>
        <n v="3959.9459999999999"/>
        <n v="10741.094000000001"/>
        <n v="3268.7809000000002"/>
        <n v="11421.4928"/>
        <n v="2106.8720000000003"/>
        <n v="24058.942800000001"/>
        <n v="1524.1240000000003"/>
        <n v="4047.6756000000005"/>
        <n v="18937.891800000001"/>
        <n v="15321.601200000001"/>
        <n v="796.29199999999992"/>
        <n v="7227.6287999999995"/>
        <n v="8705.5583999999999"/>
        <n v="2011.8914"/>
        <n v="8844.3263999999999"/>
        <n v="24008.1639"/>
        <n v="6073.1459999999997"/>
        <n v="4993.1140000000005"/>
        <n v="4406.4679999999998"/>
        <n v="6331.9853999999996"/>
        <n v="33162.884999999995"/>
        <n v="4945.9956000000002"/>
        <n v="22478.997000000003"/>
        <n v="629.16480000000001"/>
        <n v="2826.2429999999995"/>
        <n v="20891.757599999997"/>
        <n v="5238.1368000000002"/>
        <n v="1325.4864"/>
        <n v="984.0181"/>
        <n v="28678.074400000001"/>
        <n v="5545.8324000000002"/>
        <n v="5056.5200000000004"/>
        <n v="15494.649499999998"/>
        <n v="9050.5151999999998"/>
        <n v="12071.4048"/>
        <n v="5304.0540000000001"/>
        <n v="8413.2000000000007"/>
        <n v="3488.1588000000002"/>
        <n v="8015.6306999999997"/>
      </sharedItems>
    </cacheField>
    <cacheField name="month" numFmtId="0">
      <sharedItems count="13">
        <s v="Jul"/>
        <s v="Mar"/>
        <s v="Nov"/>
        <s v="Jan"/>
        <s v="Aug"/>
        <s v="Feb"/>
        <s v="Jun"/>
        <s v="Apr"/>
        <s v="Dec"/>
        <s v="Sep"/>
        <s v="Oct"/>
        <s v="2023/15/01"/>
        <s v="May"/>
      </sharedItems>
    </cacheField>
    <cacheField name="year" numFmtId="0">
      <sharedItems containsMixedTypes="1" containsNumber="1" containsInteger="1" minValue="2023" maxValue="2024"/>
    </cacheField>
  </cacheFields>
  <extLst>
    <ext xmlns:x14="http://schemas.microsoft.com/office/spreadsheetml/2009/9/main" uri="{725AE2AE-9491-48be-B2B4-4EB974FC3084}">
      <x14:pivotCacheDefinition pivotCacheId="1471954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12-07-2023"/>
    <s v="Henry"/>
    <x v="0"/>
    <x v="0"/>
    <x v="0"/>
    <n v="3"/>
    <n v="1966.17"/>
    <n v="15"/>
    <x v="0"/>
    <x v="0"/>
    <x v="0"/>
    <n v="5898.51"/>
    <n v="884.77650000000006"/>
    <x v="0"/>
    <x v="0"/>
    <n v="2023"/>
  </r>
  <r>
    <x v="1"/>
    <s v="20-03-2023"/>
    <s v="David"/>
    <x v="1"/>
    <x v="0"/>
    <x v="1"/>
    <n v="7"/>
    <n v="4401.58"/>
    <n v="5"/>
    <x v="1"/>
    <x v="0"/>
    <x v="0"/>
    <n v="30811.059999999998"/>
    <n v="1540.5529999999999"/>
    <x v="1"/>
    <x v="1"/>
    <n v="2023"/>
  </r>
  <r>
    <x v="2"/>
    <s v="07-11-2023"/>
    <s v="Alice"/>
    <x v="1"/>
    <x v="1"/>
    <x v="1"/>
    <n v="5"/>
    <n v="1111.8399999999999"/>
    <n v="11"/>
    <x v="2"/>
    <x v="1"/>
    <x v="1"/>
    <n v="5559.2"/>
    <n v="611.51199999999994"/>
    <x v="2"/>
    <x v="2"/>
    <n v="2023"/>
  </r>
  <r>
    <x v="3"/>
    <s v="19-03-2023"/>
    <s v="Charlie"/>
    <x v="2"/>
    <x v="2"/>
    <x v="2"/>
    <n v="7"/>
    <n v="1149.6099999999999"/>
    <n v="28"/>
    <x v="2"/>
    <x v="1"/>
    <x v="1"/>
    <n v="8047.2699999999995"/>
    <n v="2253.2356"/>
    <x v="3"/>
    <x v="1"/>
    <n v="2023"/>
  </r>
  <r>
    <x v="4"/>
    <s v="11-03-2023"/>
    <s v="Charlie"/>
    <x v="3"/>
    <x v="2"/>
    <x v="3"/>
    <n v="6"/>
    <n v="921.52"/>
    <n v="2"/>
    <x v="3"/>
    <x v="2"/>
    <x v="1"/>
    <n v="5529.12"/>
    <n v="110.58239999999999"/>
    <x v="4"/>
    <x v="1"/>
    <n v="2023"/>
  </r>
  <r>
    <x v="5"/>
    <s v="01-01-2024"/>
    <s v="Alice"/>
    <x v="3"/>
    <x v="0"/>
    <x v="4"/>
    <n v="6"/>
    <n v="2998.71"/>
    <n v="16"/>
    <x v="0"/>
    <x v="1"/>
    <x v="0"/>
    <n v="17992.260000000002"/>
    <n v="2878.7616000000003"/>
    <x v="5"/>
    <x v="3"/>
    <n v="2024"/>
  </r>
  <r>
    <x v="6"/>
    <s v="09-08-2023"/>
    <s v="Emma"/>
    <x v="4"/>
    <x v="2"/>
    <x v="2"/>
    <n v="9"/>
    <n v="4852.4799999999996"/>
    <n v="13"/>
    <x v="3"/>
    <x v="0"/>
    <x v="2"/>
    <n v="43672.319999999992"/>
    <n v="5677.4015999999992"/>
    <x v="6"/>
    <x v="4"/>
    <n v="2023"/>
  </r>
  <r>
    <x v="7"/>
    <s v="26-02-2023"/>
    <s v="Alice"/>
    <x v="1"/>
    <x v="1"/>
    <x v="1"/>
    <n v="8"/>
    <n v="1143.23"/>
    <n v="5"/>
    <x v="3"/>
    <x v="1"/>
    <x v="2"/>
    <n v="9145.84"/>
    <n v="457.29199999999997"/>
    <x v="7"/>
    <x v="5"/>
    <n v="2023"/>
  </r>
  <r>
    <x v="8"/>
    <s v="23-01-2023"/>
    <s v="Charlie"/>
    <x v="3"/>
    <x v="2"/>
    <x v="0"/>
    <n v="7"/>
    <n v="3547.75"/>
    <n v="22"/>
    <x v="0"/>
    <x v="1"/>
    <x v="2"/>
    <n v="24834.25"/>
    <n v="5463.5349999999999"/>
    <x v="8"/>
    <x v="3"/>
    <n v="2023"/>
  </r>
  <r>
    <x v="9"/>
    <s v="19-01-2023"/>
    <s v="Bob"/>
    <x v="2"/>
    <x v="1"/>
    <x v="2"/>
    <n v="6"/>
    <n v="297.75"/>
    <n v="2"/>
    <x v="3"/>
    <x v="0"/>
    <x v="0"/>
    <n v="1786.5"/>
    <n v="35.729999999999997"/>
    <x v="9"/>
    <x v="3"/>
    <n v="2023"/>
  </r>
  <r>
    <x v="10"/>
    <s v="27-11-2023"/>
    <s v="Grace"/>
    <x v="4"/>
    <x v="1"/>
    <x v="4"/>
    <n v="9"/>
    <n v="628.54"/>
    <n v="7"/>
    <x v="0"/>
    <x v="1"/>
    <x v="2"/>
    <n v="5656.86"/>
    <n v="395.98019999999997"/>
    <x v="10"/>
    <x v="2"/>
    <n v="2023"/>
  </r>
  <r>
    <x v="11"/>
    <s v="18-06-2023"/>
    <s v="David"/>
    <x v="3"/>
    <x v="2"/>
    <x v="4"/>
    <n v="1"/>
    <n v="2532.25"/>
    <n v="8"/>
    <x v="2"/>
    <x v="1"/>
    <x v="1"/>
    <n v="2532.25"/>
    <n v="202.58"/>
    <x v="11"/>
    <x v="6"/>
    <n v="2023"/>
  </r>
  <r>
    <x v="12"/>
    <s v="11-04-2023"/>
    <s v="Henry"/>
    <x v="2"/>
    <x v="0"/>
    <x v="3"/>
    <n v="10"/>
    <n v="1303.73"/>
    <n v="26"/>
    <x v="3"/>
    <x v="2"/>
    <x v="1"/>
    <n v="13037.3"/>
    <n v="3389.6979999999999"/>
    <x v="12"/>
    <x v="7"/>
    <n v="2023"/>
  </r>
  <r>
    <x v="13"/>
    <s v="23-11-2023"/>
    <s v="Emma"/>
    <x v="1"/>
    <x v="2"/>
    <x v="2"/>
    <n v="9"/>
    <n v="2756.25"/>
    <n v="14"/>
    <x v="0"/>
    <x v="0"/>
    <x v="1"/>
    <n v="24806.25"/>
    <n v="3472.875"/>
    <x v="13"/>
    <x v="2"/>
    <n v="2023"/>
  </r>
  <r>
    <x v="14"/>
    <s v="13-06-2023"/>
    <s v="Charlie"/>
    <x v="4"/>
    <x v="1"/>
    <x v="3"/>
    <n v="1"/>
    <n v="737.07"/>
    <n v="27"/>
    <x v="2"/>
    <x v="0"/>
    <x v="2"/>
    <n v="737.07"/>
    <n v="199.00890000000004"/>
    <x v="14"/>
    <x v="6"/>
    <n v="2023"/>
  </r>
  <r>
    <x v="15"/>
    <s v="24-07-2023"/>
    <s v="David"/>
    <x v="4"/>
    <x v="0"/>
    <x v="1"/>
    <n v="3"/>
    <n v="2500"/>
    <n v="6"/>
    <x v="1"/>
    <x v="1"/>
    <x v="0"/>
    <n v="7500"/>
    <n v="450"/>
    <x v="15"/>
    <x v="0"/>
    <n v="2023"/>
  </r>
  <r>
    <x v="16"/>
    <s v="12-02-2023"/>
    <s v="Emma"/>
    <x v="2"/>
    <x v="1"/>
    <x v="5"/>
    <n v="5"/>
    <n v="3503.07"/>
    <n v="2"/>
    <x v="1"/>
    <x v="1"/>
    <x v="0"/>
    <n v="17515.350000000002"/>
    <n v="350.30700000000002"/>
    <x v="16"/>
    <x v="5"/>
    <n v="2023"/>
  </r>
  <r>
    <x v="17"/>
    <s v="07-06-2023"/>
    <s v="Grace"/>
    <x v="1"/>
    <x v="2"/>
    <x v="4"/>
    <n v="4"/>
    <n v="1357.51"/>
    <n v="30"/>
    <x v="1"/>
    <x v="0"/>
    <x v="0"/>
    <n v="5430.04"/>
    <n v="1629.0120000000002"/>
    <x v="17"/>
    <x v="6"/>
    <n v="2023"/>
  </r>
  <r>
    <x v="18"/>
    <s v="10-04-2023"/>
    <s v="Frank"/>
    <x v="4"/>
    <x v="2"/>
    <x v="4"/>
    <n v="7"/>
    <n v="562.97"/>
    <n v="16"/>
    <x v="2"/>
    <x v="2"/>
    <x v="0"/>
    <n v="3940.79"/>
    <n v="630.52639999999997"/>
    <x v="18"/>
    <x v="7"/>
    <n v="2023"/>
  </r>
  <r>
    <x v="19"/>
    <s v="04-01-2023"/>
    <s v="David"/>
    <x v="1"/>
    <x v="0"/>
    <x v="4"/>
    <n v="9"/>
    <n v="3339.38"/>
    <n v="5"/>
    <x v="1"/>
    <x v="1"/>
    <x v="1"/>
    <n v="30054.420000000002"/>
    <n v="1502.721"/>
    <x v="19"/>
    <x v="3"/>
    <n v="2023"/>
  </r>
  <r>
    <x v="20"/>
    <s v="25-12-2023"/>
    <s v="David"/>
    <x v="1"/>
    <x v="1"/>
    <x v="1"/>
    <n v="9"/>
    <n v="1753.74"/>
    <n v="55"/>
    <x v="2"/>
    <x v="1"/>
    <x v="2"/>
    <n v="15783.66"/>
    <n v="8681.0130000000008"/>
    <x v="20"/>
    <x v="8"/>
    <n v="2023"/>
  </r>
  <r>
    <x v="21"/>
    <s v="13-06-2023"/>
    <s v="Frank"/>
    <x v="1"/>
    <x v="0"/>
    <x v="4"/>
    <n v="9"/>
    <n v="852.15"/>
    <n v="25"/>
    <x v="1"/>
    <x v="0"/>
    <x v="1"/>
    <n v="7669.3499999999995"/>
    <n v="1917.3375000000001"/>
    <x v="21"/>
    <x v="6"/>
    <n v="2023"/>
  </r>
  <r>
    <x v="22"/>
    <s v="21-09-2023"/>
    <s v="Alice"/>
    <x v="0"/>
    <x v="1"/>
    <x v="4"/>
    <n v="4"/>
    <n v="3050.48"/>
    <n v="2"/>
    <x v="2"/>
    <x v="2"/>
    <x v="0"/>
    <n v="12201.92"/>
    <n v="244.0384"/>
    <x v="22"/>
    <x v="9"/>
    <n v="2023"/>
  </r>
  <r>
    <x v="23"/>
    <s v="29-10-2023"/>
    <s v="David"/>
    <x v="2"/>
    <x v="0"/>
    <x v="1"/>
    <n v="9"/>
    <n v="3830.38"/>
    <n v="28"/>
    <x v="3"/>
    <x v="0"/>
    <x v="0"/>
    <n v="34473.42"/>
    <n v="9652.5576000000001"/>
    <x v="23"/>
    <x v="10"/>
    <n v="2023"/>
  </r>
  <r>
    <x v="24"/>
    <s v="25-06-2023"/>
    <s v="Emma"/>
    <x v="0"/>
    <x v="1"/>
    <x v="1"/>
    <n v="10"/>
    <n v="4660.9399999999996"/>
    <n v="18"/>
    <x v="3"/>
    <x v="2"/>
    <x v="2"/>
    <n v="46609.399999999994"/>
    <n v="8389.6919999999991"/>
    <x v="24"/>
    <x v="6"/>
    <n v="2023"/>
  </r>
  <r>
    <x v="25"/>
    <s v="2023/15/01"/>
    <s v="Frank"/>
    <x v="3"/>
    <x v="1"/>
    <x v="3"/>
    <n v="7"/>
    <n v="4760.38"/>
    <n v="19"/>
    <x v="1"/>
    <x v="2"/>
    <x v="2"/>
    <n v="33322.660000000003"/>
    <n v="6331.3054000000002"/>
    <x v="25"/>
    <x v="11"/>
    <e v="#VALUE!"/>
  </r>
  <r>
    <x v="26"/>
    <s v="11-03-2023"/>
    <s v="Bob"/>
    <x v="2"/>
    <x v="2"/>
    <x v="5"/>
    <n v="3"/>
    <n v="2329.9699999999998"/>
    <n v="13"/>
    <x v="1"/>
    <x v="2"/>
    <x v="0"/>
    <n v="6989.91"/>
    <n v="908.68830000000003"/>
    <x v="26"/>
    <x v="1"/>
    <n v="2023"/>
  </r>
  <r>
    <x v="27"/>
    <s v="01-09-2023"/>
    <s v="Charlie"/>
    <x v="4"/>
    <x v="2"/>
    <x v="4"/>
    <n v="1"/>
    <n v="1577.36"/>
    <n v="17"/>
    <x v="1"/>
    <x v="2"/>
    <x v="1"/>
    <n v="1577.36"/>
    <n v="268.15120000000002"/>
    <x v="27"/>
    <x v="9"/>
    <n v="2023"/>
  </r>
  <r>
    <x v="28"/>
    <s v="13-12-2023"/>
    <s v="David"/>
    <x v="1"/>
    <x v="2"/>
    <x v="0"/>
    <n v="9"/>
    <n v="1366.14"/>
    <n v="24"/>
    <x v="3"/>
    <x v="2"/>
    <x v="0"/>
    <n v="12295.26"/>
    <n v="2950.8624"/>
    <x v="28"/>
    <x v="8"/>
    <n v="2023"/>
  </r>
  <r>
    <x v="29"/>
    <s v="14-02-2023"/>
    <s v="Grace"/>
    <x v="3"/>
    <x v="1"/>
    <x v="3"/>
    <n v="3"/>
    <n v="4500.57"/>
    <n v="20"/>
    <x v="2"/>
    <x v="1"/>
    <x v="2"/>
    <n v="13501.71"/>
    <n v="2700.3419999999996"/>
    <x v="29"/>
    <x v="5"/>
    <n v="2023"/>
  </r>
  <r>
    <x v="29"/>
    <s v="14-02-2023"/>
    <s v="Grace"/>
    <x v="3"/>
    <x v="1"/>
    <x v="3"/>
    <n v="3"/>
    <n v="4500.57"/>
    <n v="20"/>
    <x v="2"/>
    <x v="1"/>
    <x v="2"/>
    <n v="13501.71"/>
    <n v="2700.3419999999996"/>
    <x v="29"/>
    <x v="5"/>
    <n v="2023"/>
  </r>
  <r>
    <x v="30"/>
    <s v="25-01-2023"/>
    <s v="Bob"/>
    <x v="4"/>
    <x v="1"/>
    <x v="4"/>
    <n v="3"/>
    <n v="4694.22"/>
    <n v="19"/>
    <x v="1"/>
    <x v="1"/>
    <x v="2"/>
    <n v="14082.66"/>
    <n v="2675.7053999999998"/>
    <x v="30"/>
    <x v="3"/>
    <n v="2023"/>
  </r>
  <r>
    <x v="31"/>
    <s v="08-04-2023"/>
    <s v="Frank"/>
    <x v="3"/>
    <x v="0"/>
    <x v="2"/>
    <n v="8"/>
    <n v="1895.27"/>
    <n v="12"/>
    <x v="3"/>
    <x v="1"/>
    <x v="1"/>
    <n v="15162.16"/>
    <n v="1819.4591999999998"/>
    <x v="31"/>
    <x v="7"/>
    <n v="2023"/>
  </r>
  <r>
    <x v="32"/>
    <s v="24-11-2023"/>
    <s v="Frank"/>
    <x v="1"/>
    <x v="1"/>
    <x v="1"/>
    <n v="9"/>
    <n v="2876.4"/>
    <n v="26"/>
    <x v="0"/>
    <x v="2"/>
    <x v="2"/>
    <n v="25887.600000000002"/>
    <n v="6730.7760000000007"/>
    <x v="32"/>
    <x v="2"/>
    <n v="2023"/>
  </r>
  <r>
    <x v="33"/>
    <s v="10-12-2023"/>
    <s v="Emma"/>
    <x v="4"/>
    <x v="1"/>
    <x v="1"/>
    <n v="10"/>
    <n v="1190.81"/>
    <n v="25"/>
    <x v="0"/>
    <x v="1"/>
    <x v="0"/>
    <n v="11908.099999999999"/>
    <n v="2977.0249999999996"/>
    <x v="33"/>
    <x v="8"/>
    <n v="2023"/>
  </r>
  <r>
    <x v="34"/>
    <s v="19-11-2023"/>
    <s v="Grace"/>
    <x v="1"/>
    <x v="0"/>
    <x v="0"/>
    <n v="9"/>
    <n v="4719.7700000000004"/>
    <n v="11"/>
    <x v="1"/>
    <x v="0"/>
    <x v="2"/>
    <n v="42477.930000000008"/>
    <n v="4672.5723000000007"/>
    <x v="34"/>
    <x v="2"/>
    <n v="2023"/>
  </r>
  <r>
    <x v="35"/>
    <s v="30-01-2023"/>
    <s v="David"/>
    <x v="1"/>
    <x v="0"/>
    <x v="1"/>
    <n v="5"/>
    <n v="3655.02"/>
    <n v="11"/>
    <x v="1"/>
    <x v="2"/>
    <x v="1"/>
    <n v="18275.099999999999"/>
    <n v="2010.2609999999997"/>
    <x v="35"/>
    <x v="3"/>
    <n v="2023"/>
  </r>
  <r>
    <x v="36"/>
    <s v="10-12-2023"/>
    <s v="Emma"/>
    <x v="4"/>
    <x v="0"/>
    <x v="5"/>
    <n v="5"/>
    <n v="2771.53"/>
    <n v="18"/>
    <x v="1"/>
    <x v="1"/>
    <x v="2"/>
    <n v="13857.650000000001"/>
    <n v="2494.377"/>
    <x v="36"/>
    <x v="8"/>
    <n v="2023"/>
  </r>
  <r>
    <x v="37"/>
    <s v="14-08-2023"/>
    <s v="David"/>
    <x v="3"/>
    <x v="0"/>
    <x v="4"/>
    <n v="4"/>
    <n v="4403.42"/>
    <n v="28"/>
    <x v="2"/>
    <x v="0"/>
    <x v="2"/>
    <n v="17613.68"/>
    <n v="4931.8304000000007"/>
    <x v="37"/>
    <x v="4"/>
    <n v="2023"/>
  </r>
  <r>
    <x v="38"/>
    <s v="10-06-2023"/>
    <s v="Frank"/>
    <x v="3"/>
    <x v="0"/>
    <x v="1"/>
    <n v="9"/>
    <n v="3931.63"/>
    <n v="5"/>
    <x v="0"/>
    <x v="2"/>
    <x v="1"/>
    <n v="35384.67"/>
    <n v="1769.2334999999998"/>
    <x v="38"/>
    <x v="6"/>
    <n v="2023"/>
  </r>
  <r>
    <x v="39"/>
    <s v="26-08-2023"/>
    <s v="Charlie"/>
    <x v="2"/>
    <x v="0"/>
    <x v="3"/>
    <n v="10"/>
    <n v="981.82"/>
    <n v="13"/>
    <x v="1"/>
    <x v="1"/>
    <x v="3"/>
    <n v="9818.2000000000007"/>
    <n v="1276.366"/>
    <x v="39"/>
    <x v="4"/>
    <n v="2023"/>
  </r>
  <r>
    <x v="40"/>
    <s v="14-04-2023"/>
    <s v="Henry"/>
    <x v="3"/>
    <x v="2"/>
    <x v="4"/>
    <n v="4"/>
    <n v="4355.33"/>
    <n v="14"/>
    <x v="3"/>
    <x v="1"/>
    <x v="2"/>
    <n v="17421.32"/>
    <n v="2438.9847999999997"/>
    <x v="40"/>
    <x v="7"/>
    <n v="2023"/>
  </r>
  <r>
    <x v="41"/>
    <s v="10-06-2023"/>
    <s v="David"/>
    <x v="0"/>
    <x v="1"/>
    <x v="5"/>
    <n v="8"/>
    <n v="175.04"/>
    <n v="21"/>
    <x v="0"/>
    <x v="2"/>
    <x v="0"/>
    <n v="1400.32"/>
    <n v="294.06719999999996"/>
    <x v="41"/>
    <x v="6"/>
    <n v="2023"/>
  </r>
  <r>
    <x v="42"/>
    <s v="29-12-2023"/>
    <s v="Frank"/>
    <x v="3"/>
    <x v="2"/>
    <x v="2"/>
    <n v="3"/>
    <n v="1210.94"/>
    <n v="25"/>
    <x v="1"/>
    <x v="2"/>
    <x v="0"/>
    <n v="3632.82"/>
    <n v="908.20500000000004"/>
    <x v="42"/>
    <x v="8"/>
    <n v="2023"/>
  </r>
  <r>
    <x v="43"/>
    <s v="07-05-2023"/>
    <s v="Grace"/>
    <x v="0"/>
    <x v="1"/>
    <x v="0"/>
    <n v="3"/>
    <n v="2638.27"/>
    <n v="14"/>
    <x v="0"/>
    <x v="0"/>
    <x v="1"/>
    <n v="7914.8099999999995"/>
    <n v="1108.0734"/>
    <x v="43"/>
    <x v="12"/>
    <n v="2023"/>
  </r>
  <r>
    <x v="44"/>
    <s v="14-04-2023"/>
    <s v="Charlie"/>
    <x v="1"/>
    <x v="2"/>
    <x v="3"/>
    <n v="10"/>
    <n v="4480.5"/>
    <n v="25"/>
    <x v="3"/>
    <x v="1"/>
    <x v="1"/>
    <n v="44805"/>
    <n v="11201.25"/>
    <x v="44"/>
    <x v="7"/>
    <n v="2023"/>
  </r>
  <r>
    <x v="45"/>
    <s v="15-02-2023"/>
    <s v="Grace"/>
    <x v="2"/>
    <x v="0"/>
    <x v="2"/>
    <n v="1"/>
    <n v="2496.4"/>
    <n v="21"/>
    <x v="1"/>
    <x v="2"/>
    <x v="2"/>
    <n v="2496.4"/>
    <n v="524.24400000000003"/>
    <x v="45"/>
    <x v="5"/>
    <n v="2023"/>
  </r>
  <r>
    <x v="46"/>
    <s v="30-06-2023"/>
    <s v="Charlie"/>
    <x v="3"/>
    <x v="0"/>
    <x v="4"/>
    <n v="2"/>
    <n v="1143.98"/>
    <n v="16"/>
    <x v="0"/>
    <x v="1"/>
    <x v="2"/>
    <n v="2287.96"/>
    <n v="366.0736"/>
    <x v="46"/>
    <x v="6"/>
    <n v="2023"/>
  </r>
  <r>
    <x v="47"/>
    <s v="27-08-2023"/>
    <s v="Charlie"/>
    <x v="3"/>
    <x v="2"/>
    <x v="3"/>
    <n v="8"/>
    <n v="2288.19"/>
    <n v="7"/>
    <x v="1"/>
    <x v="1"/>
    <x v="0"/>
    <n v="18305.52"/>
    <n v="1281.3864000000001"/>
    <x v="47"/>
    <x v="4"/>
    <n v="2023"/>
  </r>
  <r>
    <x v="48"/>
    <s v="05-09-2023"/>
    <s v="Grace"/>
    <x v="4"/>
    <x v="2"/>
    <x v="3"/>
    <n v="4"/>
    <n v="1334.37"/>
    <n v="4"/>
    <x v="2"/>
    <x v="1"/>
    <x v="1"/>
    <n v="5337.48"/>
    <n v="213.49919999999997"/>
    <x v="48"/>
    <x v="9"/>
    <n v="2023"/>
  </r>
  <r>
    <x v="49"/>
    <s v="16-03-2023"/>
    <s v="Charlie"/>
    <x v="4"/>
    <x v="2"/>
    <x v="5"/>
    <n v="-3"/>
    <n v="3625.5"/>
    <n v="15"/>
    <x v="0"/>
    <x v="2"/>
    <x v="2"/>
    <n v="-10876.5"/>
    <n v="-1631.4749999999999"/>
    <x v="49"/>
    <x v="1"/>
    <n v="2023"/>
  </r>
  <r>
    <x v="50"/>
    <s v="10-08-2023"/>
    <s v="Emma"/>
    <x v="2"/>
    <x v="2"/>
    <x v="2"/>
    <n v="2"/>
    <n v="2199.11"/>
    <n v="17"/>
    <x v="0"/>
    <x v="1"/>
    <x v="1"/>
    <n v="4398.22"/>
    <n v="747.69740000000002"/>
    <x v="50"/>
    <x v="4"/>
    <n v="2023"/>
  </r>
  <r>
    <x v="51"/>
    <s v="23-04-2023"/>
    <s v="Charlie"/>
    <x v="1"/>
    <x v="2"/>
    <x v="4"/>
    <n v="1"/>
    <n v="1868.16"/>
    <n v="8"/>
    <x v="0"/>
    <x v="0"/>
    <x v="2"/>
    <n v="1868.16"/>
    <n v="149.4528"/>
    <x v="51"/>
    <x v="7"/>
    <n v="2023"/>
  </r>
  <r>
    <x v="52"/>
    <s v="30-07-2023"/>
    <s v="Charlie"/>
    <x v="3"/>
    <x v="0"/>
    <x v="1"/>
    <n v="5"/>
    <n v="3178.88"/>
    <n v="3"/>
    <x v="2"/>
    <x v="2"/>
    <x v="2"/>
    <n v="15894.400000000001"/>
    <n v="476.83200000000005"/>
    <x v="52"/>
    <x v="0"/>
    <n v="2023"/>
  </r>
  <r>
    <x v="53"/>
    <s v="09-03-2023"/>
    <s v="Frank"/>
    <x v="1"/>
    <x v="0"/>
    <x v="1"/>
    <n v="10"/>
    <n v="2951.14"/>
    <n v="17"/>
    <x v="1"/>
    <x v="2"/>
    <x v="0"/>
    <n v="29511.399999999998"/>
    <n v="5016.9380000000001"/>
    <x v="53"/>
    <x v="1"/>
    <n v="2023"/>
  </r>
  <r>
    <x v="54"/>
    <s v="27-07-2023"/>
    <s v="Bob"/>
    <x v="4"/>
    <x v="2"/>
    <x v="5"/>
    <n v="7"/>
    <n v="3984.12"/>
    <n v="4"/>
    <x v="2"/>
    <x v="0"/>
    <x v="1"/>
    <n v="27888.84"/>
    <n v="1115.5536"/>
    <x v="54"/>
    <x v="0"/>
    <n v="2023"/>
  </r>
  <r>
    <x v="55"/>
    <s v="03-06-2023"/>
    <s v="Bob"/>
    <x v="3"/>
    <x v="0"/>
    <x v="2"/>
    <n v="7"/>
    <n v="2052.04"/>
    <n v="9"/>
    <x v="0"/>
    <x v="0"/>
    <x v="2"/>
    <n v="14364.279999999999"/>
    <n v="1292.7851999999998"/>
    <x v="55"/>
    <x v="6"/>
    <n v="2023"/>
  </r>
  <r>
    <x v="56"/>
    <s v="07-01-2023"/>
    <s v="Charlie"/>
    <x v="0"/>
    <x v="1"/>
    <x v="2"/>
    <n v="3"/>
    <n v="1928.09"/>
    <n v="13"/>
    <x v="3"/>
    <x v="0"/>
    <x v="1"/>
    <n v="5784.2699999999995"/>
    <n v="751.9550999999999"/>
    <x v="56"/>
    <x v="3"/>
    <n v="2023"/>
  </r>
  <r>
    <x v="57"/>
    <s v="01-08-2023"/>
    <s v="Alice"/>
    <x v="4"/>
    <x v="2"/>
    <x v="5"/>
    <n v="9"/>
    <n v="4541.4399999999996"/>
    <n v="23"/>
    <x v="0"/>
    <x v="0"/>
    <x v="0"/>
    <n v="40872.959999999999"/>
    <n v="9400.7808000000005"/>
    <x v="57"/>
    <x v="4"/>
    <n v="2023"/>
  </r>
  <r>
    <x v="58"/>
    <s v="10-08-2023"/>
    <s v="Emma"/>
    <x v="0"/>
    <x v="0"/>
    <x v="2"/>
    <n v="10"/>
    <n v="4000.08"/>
    <n v="22"/>
    <x v="2"/>
    <x v="0"/>
    <x v="1"/>
    <n v="40000.800000000003"/>
    <n v="8800.1760000000013"/>
    <x v="58"/>
    <x v="4"/>
    <n v="2023"/>
  </r>
  <r>
    <x v="59"/>
    <s v="22-11-2023"/>
    <s v="Bob"/>
    <x v="0"/>
    <x v="2"/>
    <x v="5"/>
    <n v="1"/>
    <n v="1250.5"/>
    <n v="16"/>
    <x v="2"/>
    <x v="2"/>
    <x v="2"/>
    <n v="1250.5"/>
    <n v="200.08"/>
    <x v="59"/>
    <x v="2"/>
    <n v="2023"/>
  </r>
  <r>
    <x v="60"/>
    <s v="23-10-2023"/>
    <s v="Frank"/>
    <x v="1"/>
    <x v="0"/>
    <x v="3"/>
    <n v="7"/>
    <n v="577.53"/>
    <n v="15"/>
    <x v="3"/>
    <x v="0"/>
    <x v="0"/>
    <n v="4042.71"/>
    <n v="606.40650000000005"/>
    <x v="60"/>
    <x v="10"/>
    <n v="2023"/>
  </r>
  <r>
    <x v="61"/>
    <s v="27-06-2023"/>
    <s v="David"/>
    <x v="4"/>
    <x v="0"/>
    <x v="5"/>
    <n v="5"/>
    <n v="1141.8"/>
    <n v="9"/>
    <x v="1"/>
    <x v="0"/>
    <x v="2"/>
    <n v="5709"/>
    <n v="513.80999999999995"/>
    <x v="61"/>
    <x v="6"/>
    <n v="2023"/>
  </r>
  <r>
    <x v="62"/>
    <s v="04-07-2023"/>
    <s v="Charlie"/>
    <x v="4"/>
    <x v="2"/>
    <x v="1"/>
    <n v="2"/>
    <n v="4428.78"/>
    <n v="17"/>
    <x v="3"/>
    <x v="2"/>
    <x v="2"/>
    <n v="8857.56"/>
    <n v="1505.7851999999998"/>
    <x v="62"/>
    <x v="0"/>
    <n v="2023"/>
  </r>
  <r>
    <x v="63"/>
    <s v="04-12-2023"/>
    <s v="Emma"/>
    <x v="1"/>
    <x v="1"/>
    <x v="4"/>
    <n v="4"/>
    <n v="4307.3500000000004"/>
    <n v="30"/>
    <x v="2"/>
    <x v="1"/>
    <x v="0"/>
    <n v="17229.400000000001"/>
    <n v="5168.8200000000006"/>
    <x v="63"/>
    <x v="8"/>
    <n v="2023"/>
  </r>
  <r>
    <x v="64"/>
    <s v="09-04-2023"/>
    <s v="Charlie"/>
    <x v="4"/>
    <x v="0"/>
    <x v="0"/>
    <n v="9"/>
    <n v="3094.86"/>
    <n v="28"/>
    <x v="1"/>
    <x v="2"/>
    <x v="1"/>
    <n v="27853.74"/>
    <n v="7799.0472000000009"/>
    <x v="64"/>
    <x v="7"/>
    <n v="2023"/>
  </r>
  <r>
    <x v="65"/>
    <s v="16-06-2023"/>
    <s v="Henry"/>
    <x v="0"/>
    <x v="0"/>
    <x v="4"/>
    <n v="5"/>
    <n v="3978.25"/>
    <n v="4"/>
    <x v="1"/>
    <x v="1"/>
    <x v="2"/>
    <n v="19891.25"/>
    <n v="795.65"/>
    <x v="65"/>
    <x v="6"/>
    <n v="2023"/>
  </r>
  <r>
    <x v="66"/>
    <s v="11-11-2023"/>
    <s v="Frank"/>
    <x v="0"/>
    <x v="0"/>
    <x v="3"/>
    <n v="3"/>
    <n v="3624.28"/>
    <n v="12"/>
    <x v="1"/>
    <x v="0"/>
    <x v="0"/>
    <n v="10872.84"/>
    <n v="1304.7408"/>
    <x v="66"/>
    <x v="2"/>
    <n v="2023"/>
  </r>
  <r>
    <x v="67"/>
    <s v="01-08-2023"/>
    <s v="Emma"/>
    <x v="4"/>
    <x v="2"/>
    <x v="4"/>
    <n v="5"/>
    <n v="1345.67"/>
    <n v="13"/>
    <x v="0"/>
    <x v="0"/>
    <x v="1"/>
    <n v="6728.35"/>
    <n v="874.68550000000005"/>
    <x v="67"/>
    <x v="4"/>
    <n v="2023"/>
  </r>
  <r>
    <x v="68"/>
    <s v="24-03-2023"/>
    <s v="Henry"/>
    <x v="4"/>
    <x v="0"/>
    <x v="1"/>
    <n v="2"/>
    <n v="2931.39"/>
    <n v="0"/>
    <x v="1"/>
    <x v="0"/>
    <x v="1"/>
    <n v="5862.78"/>
    <n v="0"/>
    <x v="68"/>
    <x v="1"/>
    <n v="2023"/>
  </r>
  <r>
    <x v="69"/>
    <s v="13-02-2023"/>
    <s v="Emma"/>
    <x v="1"/>
    <x v="0"/>
    <x v="3"/>
    <n v="2"/>
    <n v="4641.54"/>
    <n v="26"/>
    <x v="0"/>
    <x v="0"/>
    <x v="0"/>
    <n v="9283.08"/>
    <n v="2413.6007999999997"/>
    <x v="69"/>
    <x v="5"/>
    <n v="2023"/>
  </r>
  <r>
    <x v="70"/>
    <s v="02-08-2023"/>
    <s v="Grace"/>
    <x v="0"/>
    <x v="2"/>
    <x v="4"/>
    <n v="9"/>
    <n v="3808.2"/>
    <n v="21"/>
    <x v="3"/>
    <x v="1"/>
    <x v="1"/>
    <n v="34273.799999999996"/>
    <n v="7197.4979999999996"/>
    <x v="70"/>
    <x v="4"/>
    <n v="2023"/>
  </r>
  <r>
    <x v="71"/>
    <s v="21-01-2023"/>
    <s v="Charlie"/>
    <x v="1"/>
    <x v="1"/>
    <x v="5"/>
    <n v="8"/>
    <n v="2287.14"/>
    <n v="20"/>
    <x v="1"/>
    <x v="0"/>
    <x v="1"/>
    <n v="18297.12"/>
    <n v="3659.4239999999995"/>
    <x v="71"/>
    <x v="3"/>
    <n v="2023"/>
  </r>
  <r>
    <x v="72"/>
    <s v="12-04-2023"/>
    <s v="Emma"/>
    <x v="1"/>
    <x v="0"/>
    <x v="0"/>
    <n v="4"/>
    <n v="3923.96"/>
    <n v="24"/>
    <x v="3"/>
    <x v="0"/>
    <x v="0"/>
    <n v="15695.84"/>
    <n v="3767.0016000000005"/>
    <x v="72"/>
    <x v="7"/>
    <n v="2023"/>
  </r>
  <r>
    <x v="73"/>
    <s v="06-12-2023"/>
    <s v="Charlie"/>
    <x v="1"/>
    <x v="1"/>
    <x v="1"/>
    <n v="9"/>
    <n v="735.38"/>
    <n v="11"/>
    <x v="0"/>
    <x v="2"/>
    <x v="2"/>
    <n v="6618.42"/>
    <n v="728.0261999999999"/>
    <x v="73"/>
    <x v="8"/>
    <n v="2023"/>
  </r>
  <r>
    <x v="74"/>
    <s v="01-10-2023"/>
    <s v="Emma"/>
    <x v="0"/>
    <x v="1"/>
    <x v="4"/>
    <n v="1"/>
    <n v="2417.2600000000002"/>
    <n v="25"/>
    <x v="2"/>
    <x v="0"/>
    <x v="0"/>
    <n v="2417.2600000000002"/>
    <n v="604.31500000000005"/>
    <x v="74"/>
    <x v="10"/>
    <n v="2023"/>
  </r>
  <r>
    <x v="75"/>
    <s v="28-03-2023"/>
    <s v="Grace"/>
    <x v="1"/>
    <x v="1"/>
    <x v="4"/>
    <n v="9"/>
    <n v="4774.63"/>
    <n v="7"/>
    <x v="1"/>
    <x v="2"/>
    <x v="1"/>
    <n v="42971.67"/>
    <n v="3008.0169000000001"/>
    <x v="75"/>
    <x v="1"/>
    <n v="2023"/>
  </r>
  <r>
    <x v="76"/>
    <s v="17-02-2023"/>
    <s v="Bob"/>
    <x v="4"/>
    <x v="0"/>
    <x v="1"/>
    <n v="5"/>
    <n v="425.91"/>
    <n v="9"/>
    <x v="1"/>
    <x v="2"/>
    <x v="1"/>
    <n v="2129.5500000000002"/>
    <n v="191.65950000000001"/>
    <x v="76"/>
    <x v="5"/>
    <n v="2023"/>
  </r>
  <r>
    <x v="77"/>
    <s v="26-05-2023"/>
    <s v="Henry"/>
    <x v="2"/>
    <x v="2"/>
    <x v="3"/>
    <n v="3"/>
    <n v="827.38"/>
    <n v="0"/>
    <x v="2"/>
    <x v="2"/>
    <x v="2"/>
    <n v="2482.14"/>
    <n v="0"/>
    <x v="77"/>
    <x v="12"/>
    <n v="2023"/>
  </r>
  <r>
    <x v="78"/>
    <s v="07-08-2023"/>
    <s v="Henry"/>
    <x v="1"/>
    <x v="0"/>
    <x v="4"/>
    <n v="9"/>
    <n v="3225.7"/>
    <n v="7"/>
    <x v="1"/>
    <x v="1"/>
    <x v="1"/>
    <n v="29031.3"/>
    <n v="2032.191"/>
    <x v="78"/>
    <x v="4"/>
    <n v="2023"/>
  </r>
  <r>
    <x v="79"/>
    <s v="24-01-2023"/>
    <s v="Bob"/>
    <x v="0"/>
    <x v="2"/>
    <x v="0"/>
    <n v="10"/>
    <n v="319.01"/>
    <n v="23"/>
    <x v="1"/>
    <x v="2"/>
    <x v="1"/>
    <n v="3190.1"/>
    <n v="733.72300000000007"/>
    <x v="79"/>
    <x v="3"/>
    <n v="2023"/>
  </r>
  <r>
    <x v="80"/>
    <s v="18-01-2023"/>
    <s v="Emma"/>
    <x v="4"/>
    <x v="1"/>
    <x v="0"/>
    <n v="8"/>
    <n v="2924.27"/>
    <n v="21"/>
    <x v="1"/>
    <x v="1"/>
    <x v="0"/>
    <n v="23394.16"/>
    <n v="4912.7735999999995"/>
    <x v="80"/>
    <x v="3"/>
    <n v="2023"/>
  </r>
  <r>
    <x v="81"/>
    <s v="30-04-2023"/>
    <s v="Emma"/>
    <x v="0"/>
    <x v="1"/>
    <x v="0"/>
    <n v="4"/>
    <n v="2021.8"/>
    <n v="22"/>
    <x v="2"/>
    <x v="2"/>
    <x v="0"/>
    <n v="8087.2"/>
    <n v="1779.184"/>
    <x v="81"/>
    <x v="7"/>
    <n v="2023"/>
  </r>
  <r>
    <x v="82"/>
    <s v="22-11-2023"/>
    <s v="Emma"/>
    <x v="2"/>
    <x v="0"/>
    <x v="2"/>
    <n v="3"/>
    <n v="1973.28"/>
    <n v="19"/>
    <x v="0"/>
    <x v="2"/>
    <x v="0"/>
    <n v="5919.84"/>
    <n v="1124.7696000000001"/>
    <x v="82"/>
    <x v="2"/>
    <n v="2023"/>
  </r>
  <r>
    <x v="83"/>
    <s v="13-09-2023"/>
    <s v="Grace"/>
    <x v="2"/>
    <x v="0"/>
    <x v="1"/>
    <n v="10"/>
    <n v="3715.9"/>
    <n v="18"/>
    <x v="3"/>
    <x v="2"/>
    <x v="0"/>
    <n v="37159"/>
    <n v="6688.62"/>
    <x v="83"/>
    <x v="9"/>
    <n v="2023"/>
  </r>
  <r>
    <x v="84"/>
    <s v="10-10-2023"/>
    <s v="David"/>
    <x v="4"/>
    <x v="1"/>
    <x v="4"/>
    <n v="7"/>
    <n v="172.54"/>
    <n v="25"/>
    <x v="0"/>
    <x v="0"/>
    <x v="1"/>
    <n v="1207.78"/>
    <n v="301.94499999999999"/>
    <x v="84"/>
    <x v="10"/>
    <n v="2023"/>
  </r>
  <r>
    <x v="85"/>
    <s v="27-07-2023"/>
    <s v="David"/>
    <x v="3"/>
    <x v="2"/>
    <x v="3"/>
    <n v="2"/>
    <n v="4389.67"/>
    <n v="15"/>
    <x v="1"/>
    <x v="2"/>
    <x v="0"/>
    <n v="8779.34"/>
    <n v="1316.9010000000001"/>
    <x v="85"/>
    <x v="0"/>
    <n v="2023"/>
  </r>
  <r>
    <x v="86"/>
    <s v="09-07-2023"/>
    <s v="Alice"/>
    <x v="1"/>
    <x v="2"/>
    <x v="2"/>
    <n v="6"/>
    <n v="3866.35"/>
    <n v="5"/>
    <x v="3"/>
    <x v="2"/>
    <x v="2"/>
    <n v="23198.1"/>
    <n v="1159.905"/>
    <x v="86"/>
    <x v="0"/>
    <n v="2023"/>
  </r>
  <r>
    <x v="87"/>
    <s v="01-06-2023"/>
    <s v="Charlie"/>
    <x v="3"/>
    <x v="2"/>
    <x v="5"/>
    <n v="10"/>
    <n v="4442.08"/>
    <n v="5"/>
    <x v="2"/>
    <x v="0"/>
    <x v="1"/>
    <n v="44420.800000000003"/>
    <n v="2221.04"/>
    <x v="87"/>
    <x v="6"/>
    <n v="2023"/>
  </r>
  <r>
    <x v="88"/>
    <s v="04-09-2023"/>
    <s v="Grace"/>
    <x v="2"/>
    <x v="2"/>
    <x v="3"/>
    <n v="8"/>
    <n v="3159.06"/>
    <n v="19"/>
    <x v="2"/>
    <x v="1"/>
    <x v="0"/>
    <n v="25272.48"/>
    <n v="4801.7712000000001"/>
    <x v="88"/>
    <x v="9"/>
    <n v="2023"/>
  </r>
  <r>
    <x v="89"/>
    <s v="17-07-2023"/>
    <s v="Henry"/>
    <x v="4"/>
    <x v="2"/>
    <x v="5"/>
    <n v="10"/>
    <n v="2397.9299999999998"/>
    <n v="6"/>
    <x v="3"/>
    <x v="2"/>
    <x v="2"/>
    <n v="23979.3"/>
    <n v="1438.7579999999998"/>
    <x v="89"/>
    <x v="0"/>
    <n v="2023"/>
  </r>
  <r>
    <x v="90"/>
    <s v="03-04-2023"/>
    <s v="David"/>
    <x v="1"/>
    <x v="0"/>
    <x v="3"/>
    <n v="4"/>
    <n v="4616.2"/>
    <n v="15"/>
    <x v="1"/>
    <x v="2"/>
    <x v="1"/>
    <n v="18464.8"/>
    <n v="2769.72"/>
    <x v="90"/>
    <x v="7"/>
    <n v="2023"/>
  </r>
  <r>
    <x v="91"/>
    <s v="15-05-2023"/>
    <s v="Frank"/>
    <x v="0"/>
    <x v="1"/>
    <x v="1"/>
    <n v="3"/>
    <n v="1557.32"/>
    <n v="10"/>
    <x v="3"/>
    <x v="2"/>
    <x v="2"/>
    <n v="4671.96"/>
    <n v="467.19599999999997"/>
    <x v="91"/>
    <x v="12"/>
    <n v="2023"/>
  </r>
  <r>
    <x v="92"/>
    <s v="18-01-2023"/>
    <s v="David"/>
    <x v="3"/>
    <x v="2"/>
    <x v="2"/>
    <n v="8"/>
    <n v="1909.63"/>
    <n v="29"/>
    <x v="3"/>
    <x v="0"/>
    <x v="2"/>
    <n v="15277.04"/>
    <n v="4430.3416000000007"/>
    <x v="92"/>
    <x v="3"/>
    <n v="2023"/>
  </r>
  <r>
    <x v="93"/>
    <s v="22-07-2023"/>
    <s v="Alice"/>
    <x v="0"/>
    <x v="0"/>
    <x v="0"/>
    <n v="4"/>
    <n v="4534.7299999999996"/>
    <n v="13"/>
    <x v="3"/>
    <x v="2"/>
    <x v="1"/>
    <n v="18138.919999999998"/>
    <n v="2358.0595999999996"/>
    <x v="93"/>
    <x v="0"/>
    <n v="2023"/>
  </r>
  <r>
    <x v="94"/>
    <s v="31-03-2023"/>
    <s v="Alice"/>
    <x v="1"/>
    <x v="2"/>
    <x v="4"/>
    <n v="8"/>
    <n v="3300.89"/>
    <n v="22"/>
    <x v="2"/>
    <x v="1"/>
    <x v="0"/>
    <n v="26407.119999999999"/>
    <n v="5809.5663999999997"/>
    <x v="94"/>
    <x v="1"/>
    <n v="2023"/>
  </r>
  <r>
    <x v="95"/>
    <s v="19-11-2023"/>
    <s v="David"/>
    <x v="1"/>
    <x v="1"/>
    <x v="5"/>
    <n v="7"/>
    <n v="2207"/>
    <n v="24"/>
    <x v="2"/>
    <x v="1"/>
    <x v="0"/>
    <n v="15449"/>
    <n v="3707.76"/>
    <x v="95"/>
    <x v="2"/>
    <n v="2023"/>
  </r>
  <r>
    <x v="96"/>
    <s v="16-04-2023"/>
    <s v="David"/>
    <x v="4"/>
    <x v="1"/>
    <x v="2"/>
    <n v="4"/>
    <n v="1138.73"/>
    <n v="9"/>
    <x v="1"/>
    <x v="2"/>
    <x v="1"/>
    <n v="4554.92"/>
    <n v="409.94279999999998"/>
    <x v="96"/>
    <x v="7"/>
    <n v="2023"/>
  </r>
  <r>
    <x v="97"/>
    <s v="19-01-2023"/>
    <s v="Bob"/>
    <x v="2"/>
    <x v="0"/>
    <x v="5"/>
    <n v="5"/>
    <n v="3504.29"/>
    <n v="13"/>
    <x v="1"/>
    <x v="0"/>
    <x v="0"/>
    <n v="17521.45"/>
    <n v="2277.7885000000001"/>
    <x v="97"/>
    <x v="3"/>
    <n v="2023"/>
  </r>
  <r>
    <x v="98"/>
    <s v="10-07-2023"/>
    <s v="Grace"/>
    <x v="4"/>
    <x v="1"/>
    <x v="2"/>
    <n v="5"/>
    <n v="4994.95"/>
    <n v="7"/>
    <x v="3"/>
    <x v="0"/>
    <x v="0"/>
    <n v="24974.75"/>
    <n v="1748.2325000000001"/>
    <x v="98"/>
    <x v="0"/>
    <n v="2023"/>
  </r>
  <r>
    <x v="99"/>
    <s v="31-12-2023"/>
    <s v="Alice"/>
    <x v="3"/>
    <x v="2"/>
    <x v="4"/>
    <n v="9"/>
    <n v="1131.22"/>
    <n v="25"/>
    <x v="3"/>
    <x v="1"/>
    <x v="2"/>
    <n v="10180.98"/>
    <n v="2545.2449999999999"/>
    <x v="99"/>
    <x v="8"/>
    <n v="2023"/>
  </r>
  <r>
    <x v="100"/>
    <s v="29-04-2023"/>
    <s v="Bob"/>
    <x v="0"/>
    <x v="1"/>
    <x v="5"/>
    <n v="7"/>
    <n v="1801.32"/>
    <n v="1"/>
    <x v="1"/>
    <x v="1"/>
    <x v="0"/>
    <n v="12609.24"/>
    <n v="126.0924"/>
    <x v="100"/>
    <x v="7"/>
    <n v="2023"/>
  </r>
  <r>
    <x v="101"/>
    <s v="11-07-2023"/>
    <s v="Grace"/>
    <x v="0"/>
    <x v="0"/>
    <x v="4"/>
    <n v="3"/>
    <n v="4635.46"/>
    <n v="30"/>
    <x v="2"/>
    <x v="1"/>
    <x v="0"/>
    <n v="13906.380000000001"/>
    <n v="4171.9140000000007"/>
    <x v="101"/>
    <x v="0"/>
    <n v="2023"/>
  </r>
  <r>
    <x v="102"/>
    <s v="24-08-2023"/>
    <s v="Frank"/>
    <x v="3"/>
    <x v="0"/>
    <x v="3"/>
    <n v="1"/>
    <n v="1778.06"/>
    <n v="8"/>
    <x v="3"/>
    <x v="1"/>
    <x v="2"/>
    <n v="1778.06"/>
    <n v="142.2448"/>
    <x v="102"/>
    <x v="4"/>
    <n v="2023"/>
  </r>
  <r>
    <x v="103"/>
    <s v="12-04-2023"/>
    <s v="Henry"/>
    <x v="4"/>
    <x v="1"/>
    <x v="4"/>
    <n v="1"/>
    <n v="551.66"/>
    <n v="0"/>
    <x v="2"/>
    <x v="1"/>
    <x v="1"/>
    <n v="551.66"/>
    <n v="0"/>
    <x v="103"/>
    <x v="7"/>
    <n v="2023"/>
  </r>
  <r>
    <x v="104"/>
    <s v="28-01-2023"/>
    <s v="Frank"/>
    <x v="4"/>
    <x v="1"/>
    <x v="2"/>
    <n v="7"/>
    <n v="2785.36"/>
    <n v="25"/>
    <x v="2"/>
    <x v="2"/>
    <x v="1"/>
    <n v="19497.52"/>
    <n v="4874.38"/>
    <x v="104"/>
    <x v="3"/>
    <n v="2023"/>
  </r>
  <r>
    <x v="105"/>
    <s v="13-09-2023"/>
    <s v="Frank"/>
    <x v="1"/>
    <x v="1"/>
    <x v="2"/>
    <n v="6"/>
    <n v="4546.2700000000004"/>
    <n v="20"/>
    <x v="3"/>
    <x v="0"/>
    <x v="1"/>
    <n v="27277.620000000003"/>
    <n v="5455.5240000000003"/>
    <x v="105"/>
    <x v="9"/>
    <n v="2023"/>
  </r>
  <r>
    <x v="106"/>
    <s v="26-12-2023"/>
    <s v="Grace"/>
    <x v="3"/>
    <x v="0"/>
    <x v="3"/>
    <n v="10"/>
    <n v="2527.96"/>
    <n v="24"/>
    <x v="1"/>
    <x v="0"/>
    <x v="0"/>
    <n v="25279.599999999999"/>
    <n v="6067.1039999999994"/>
    <x v="106"/>
    <x v="8"/>
    <n v="2023"/>
  </r>
  <r>
    <x v="107"/>
    <s v="01-03-2023"/>
    <s v="Bob"/>
    <x v="3"/>
    <x v="1"/>
    <x v="2"/>
    <n v="9"/>
    <n v="152.47999999999999"/>
    <n v="10"/>
    <x v="1"/>
    <x v="1"/>
    <x v="1"/>
    <n v="1372.32"/>
    <n v="137.232"/>
    <x v="107"/>
    <x v="1"/>
    <n v="2023"/>
  </r>
  <r>
    <x v="108"/>
    <s v="29-01-2023"/>
    <s v="Frank"/>
    <x v="0"/>
    <x v="0"/>
    <x v="1"/>
    <n v="10"/>
    <n v="2900.71"/>
    <n v="16"/>
    <x v="3"/>
    <x v="2"/>
    <x v="1"/>
    <n v="29007.1"/>
    <n v="4641.1359999999995"/>
    <x v="108"/>
    <x v="3"/>
    <n v="2023"/>
  </r>
  <r>
    <x v="109"/>
    <s v="09-08-2023"/>
    <s v="Charlie"/>
    <x v="1"/>
    <x v="2"/>
    <x v="1"/>
    <n v="2"/>
    <n v="4316.82"/>
    <n v="6"/>
    <x v="1"/>
    <x v="1"/>
    <x v="2"/>
    <n v="8633.64"/>
    <n v="518.01839999999993"/>
    <x v="109"/>
    <x v="4"/>
    <n v="2023"/>
  </r>
  <r>
    <x v="110"/>
    <s v="03-11-2023"/>
    <s v="Henry"/>
    <x v="3"/>
    <x v="0"/>
    <x v="0"/>
    <n v="9"/>
    <n v="3520.87"/>
    <n v="17"/>
    <x v="1"/>
    <x v="2"/>
    <x v="1"/>
    <n v="31687.829999999998"/>
    <n v="5386.9310999999998"/>
    <x v="110"/>
    <x v="2"/>
    <n v="2023"/>
  </r>
  <r>
    <x v="111"/>
    <s v="15-12-2023"/>
    <s v="Henry"/>
    <x v="0"/>
    <x v="0"/>
    <x v="5"/>
    <n v="6"/>
    <n v="503.54"/>
    <n v="0"/>
    <x v="2"/>
    <x v="0"/>
    <x v="2"/>
    <n v="3021.2400000000002"/>
    <n v="0"/>
    <x v="111"/>
    <x v="8"/>
    <n v="2023"/>
  </r>
  <r>
    <x v="112"/>
    <s v="23-06-2023"/>
    <s v="Bob"/>
    <x v="0"/>
    <x v="0"/>
    <x v="4"/>
    <n v="2"/>
    <n v="4712.13"/>
    <n v="22"/>
    <x v="0"/>
    <x v="2"/>
    <x v="1"/>
    <n v="9424.26"/>
    <n v="2073.3371999999999"/>
    <x v="112"/>
    <x v="6"/>
    <n v="2023"/>
  </r>
  <r>
    <x v="113"/>
    <s v="30-08-2023"/>
    <s v="David"/>
    <x v="0"/>
    <x v="2"/>
    <x v="3"/>
    <n v="6"/>
    <n v="1792.05"/>
    <n v="21"/>
    <x v="1"/>
    <x v="0"/>
    <x v="1"/>
    <n v="10752.3"/>
    <n v="2257.9829999999997"/>
    <x v="113"/>
    <x v="4"/>
    <n v="2023"/>
  </r>
  <r>
    <x v="114"/>
    <s v="16-08-2023"/>
    <s v="David"/>
    <x v="1"/>
    <x v="1"/>
    <x v="4"/>
    <n v="2"/>
    <n v="4758.6400000000003"/>
    <n v="0"/>
    <x v="1"/>
    <x v="0"/>
    <x v="2"/>
    <n v="9517.2800000000007"/>
    <n v="0"/>
    <x v="114"/>
    <x v="4"/>
    <n v="2023"/>
  </r>
  <r>
    <x v="115"/>
    <s v="09-02-2023"/>
    <s v="Frank"/>
    <x v="4"/>
    <x v="2"/>
    <x v="3"/>
    <n v="5"/>
    <n v="780.44"/>
    <n v="16"/>
    <x v="1"/>
    <x v="0"/>
    <x v="1"/>
    <n v="3902.2000000000003"/>
    <n v="624.35200000000009"/>
    <x v="115"/>
    <x v="5"/>
    <n v="2023"/>
  </r>
  <r>
    <x v="116"/>
    <s v="02-06-2023"/>
    <s v="Emma"/>
    <x v="1"/>
    <x v="2"/>
    <x v="5"/>
    <n v="2"/>
    <n v="1049.4100000000001"/>
    <n v="14"/>
    <x v="3"/>
    <x v="0"/>
    <x v="0"/>
    <n v="2098.8200000000002"/>
    <n v="293.83480000000003"/>
    <x v="116"/>
    <x v="6"/>
    <n v="2023"/>
  </r>
  <r>
    <x v="117"/>
    <s v="22-09-2023"/>
    <s v="Emma"/>
    <x v="4"/>
    <x v="1"/>
    <x v="0"/>
    <n v="9"/>
    <n v="334.23"/>
    <n v="14"/>
    <x v="1"/>
    <x v="2"/>
    <x v="1"/>
    <n v="3008.07"/>
    <n v="421.12980000000005"/>
    <x v="117"/>
    <x v="9"/>
    <n v="2023"/>
  </r>
  <r>
    <x v="118"/>
    <s v="29-01-2023"/>
    <s v="Frank"/>
    <x v="4"/>
    <x v="0"/>
    <x v="3"/>
    <n v="4"/>
    <n v="4698.49"/>
    <n v="5"/>
    <x v="2"/>
    <x v="1"/>
    <x v="0"/>
    <n v="18793.96"/>
    <n v="939.69799999999987"/>
    <x v="118"/>
    <x v="3"/>
    <n v="2023"/>
  </r>
  <r>
    <x v="119"/>
    <s v="02-12-2023"/>
    <s v="Charlie"/>
    <x v="2"/>
    <x v="2"/>
    <x v="2"/>
    <n v="7"/>
    <n v="2236.7199999999998"/>
    <n v="8"/>
    <x v="2"/>
    <x v="1"/>
    <x v="0"/>
    <n v="15657.039999999999"/>
    <n v="1252.5631999999998"/>
    <x v="119"/>
    <x v="8"/>
    <n v="2023"/>
  </r>
  <r>
    <x v="120"/>
    <s v="08-02-2023"/>
    <s v="Emma"/>
    <x v="2"/>
    <x v="2"/>
    <x v="1"/>
    <n v="4"/>
    <n v="763.21"/>
    <n v="25"/>
    <x v="1"/>
    <x v="1"/>
    <x v="2"/>
    <n v="3052.84"/>
    <n v="763.21"/>
    <x v="120"/>
    <x v="5"/>
    <n v="2023"/>
  </r>
  <r>
    <x v="121"/>
    <s v="22-08-2023"/>
    <s v="Henry"/>
    <x v="1"/>
    <x v="2"/>
    <x v="3"/>
    <n v="3"/>
    <n v="4544.3100000000004"/>
    <n v="5"/>
    <x v="0"/>
    <x v="2"/>
    <x v="2"/>
    <n v="13632.93"/>
    <n v="681.64649999999995"/>
    <x v="121"/>
    <x v="4"/>
    <n v="2023"/>
  </r>
  <r>
    <x v="122"/>
    <s v="31-10-2023"/>
    <s v="Emma"/>
    <x v="4"/>
    <x v="0"/>
    <x v="1"/>
    <n v="6"/>
    <n v="3687.8"/>
    <n v="18"/>
    <x v="3"/>
    <x v="2"/>
    <x v="0"/>
    <n v="22126.800000000003"/>
    <n v="3982.8240000000001"/>
    <x v="122"/>
    <x v="10"/>
    <n v="2023"/>
  </r>
  <r>
    <x v="123"/>
    <s v="08-11-2023"/>
    <s v="Charlie"/>
    <x v="1"/>
    <x v="2"/>
    <x v="0"/>
    <n v="10"/>
    <n v="4748.51"/>
    <n v="15"/>
    <x v="2"/>
    <x v="0"/>
    <x v="1"/>
    <n v="47485.100000000006"/>
    <n v="7122.7650000000012"/>
    <x v="123"/>
    <x v="2"/>
    <n v="2023"/>
  </r>
  <r>
    <x v="124"/>
    <s v="26-02-2023"/>
    <s v="Alice"/>
    <x v="1"/>
    <x v="0"/>
    <x v="2"/>
    <n v="5"/>
    <n v="1997.37"/>
    <n v="3"/>
    <x v="2"/>
    <x v="2"/>
    <x v="1"/>
    <n v="9986.8499999999985"/>
    <n v="299.60549999999995"/>
    <x v="124"/>
    <x v="5"/>
    <n v="2023"/>
  </r>
  <r>
    <x v="125"/>
    <s v="17-12-2023"/>
    <s v="Alice"/>
    <x v="0"/>
    <x v="0"/>
    <x v="3"/>
    <n v="4"/>
    <n v="4781.63"/>
    <n v="1"/>
    <x v="0"/>
    <x v="2"/>
    <x v="0"/>
    <n v="19126.52"/>
    <n v="191.26519999999999"/>
    <x v="125"/>
    <x v="8"/>
    <n v="2023"/>
  </r>
  <r>
    <x v="126"/>
    <s v="30-01-2023"/>
    <s v="David"/>
    <x v="2"/>
    <x v="2"/>
    <x v="5"/>
    <n v="5"/>
    <n v="4888.82"/>
    <n v="2"/>
    <x v="3"/>
    <x v="1"/>
    <x v="2"/>
    <n v="24444.1"/>
    <n v="488.88199999999995"/>
    <x v="126"/>
    <x v="3"/>
    <n v="2023"/>
  </r>
  <r>
    <x v="127"/>
    <s v="26-05-2023"/>
    <s v="Grace"/>
    <x v="4"/>
    <x v="1"/>
    <x v="3"/>
    <n v="5"/>
    <n v="1009.43"/>
    <n v="23"/>
    <x v="0"/>
    <x v="0"/>
    <x v="2"/>
    <n v="5047.1499999999996"/>
    <n v="1160.8444999999999"/>
    <x v="127"/>
    <x v="12"/>
    <n v="2023"/>
  </r>
  <r>
    <x v="128"/>
    <s v="25-07-2023"/>
    <s v="David"/>
    <x v="4"/>
    <x v="2"/>
    <x v="2"/>
    <n v="2"/>
    <n v="3891.03"/>
    <n v="18"/>
    <x v="3"/>
    <x v="1"/>
    <x v="0"/>
    <n v="7782.06"/>
    <n v="1400.7708000000002"/>
    <x v="128"/>
    <x v="0"/>
    <n v="2023"/>
  </r>
  <r>
    <x v="129"/>
    <s v="18-08-2023"/>
    <s v="Charlie"/>
    <x v="2"/>
    <x v="0"/>
    <x v="3"/>
    <n v="3"/>
    <n v="3016.08"/>
    <n v="22"/>
    <x v="1"/>
    <x v="1"/>
    <x v="1"/>
    <n v="9048.24"/>
    <n v="1990.6127999999999"/>
    <x v="129"/>
    <x v="4"/>
    <n v="2023"/>
  </r>
  <r>
    <x v="130"/>
    <s v="04-02-2023"/>
    <s v="David"/>
    <x v="4"/>
    <x v="0"/>
    <x v="0"/>
    <n v="6"/>
    <n v="1308.33"/>
    <n v="19"/>
    <x v="1"/>
    <x v="1"/>
    <x v="1"/>
    <n v="7849.98"/>
    <n v="1491.4962"/>
    <x v="130"/>
    <x v="5"/>
    <n v="2023"/>
  </r>
  <r>
    <x v="131"/>
    <s v="17-09-2023"/>
    <s v="Bob"/>
    <x v="0"/>
    <x v="0"/>
    <x v="4"/>
    <n v="5"/>
    <n v="1111.25"/>
    <n v="25"/>
    <x v="2"/>
    <x v="1"/>
    <x v="1"/>
    <n v="5556.25"/>
    <n v="1389.0625"/>
    <x v="131"/>
    <x v="9"/>
    <n v="2023"/>
  </r>
  <r>
    <x v="132"/>
    <s v="26-02-2023"/>
    <s v="Bob"/>
    <x v="3"/>
    <x v="2"/>
    <x v="5"/>
    <n v="3"/>
    <n v="2444.2199999999998"/>
    <n v="22"/>
    <x v="3"/>
    <x v="0"/>
    <x v="2"/>
    <n v="7332.66"/>
    <n v="1613.1851999999999"/>
    <x v="132"/>
    <x v="5"/>
    <n v="2023"/>
  </r>
  <r>
    <x v="133"/>
    <s v="02-12-2023"/>
    <s v="Emma"/>
    <x v="2"/>
    <x v="2"/>
    <x v="4"/>
    <n v="1"/>
    <n v="2203.7199999999998"/>
    <n v="2"/>
    <x v="2"/>
    <x v="0"/>
    <x v="1"/>
    <n v="2203.7199999999998"/>
    <n v="44.074399999999997"/>
    <x v="133"/>
    <x v="8"/>
    <n v="2023"/>
  </r>
  <r>
    <x v="134"/>
    <s v="04-12-2023"/>
    <s v="Henry"/>
    <x v="0"/>
    <x v="2"/>
    <x v="2"/>
    <n v="10"/>
    <n v="3452.08"/>
    <n v="11"/>
    <x v="0"/>
    <x v="0"/>
    <x v="0"/>
    <n v="34520.800000000003"/>
    <n v="3797.2880000000005"/>
    <x v="134"/>
    <x v="8"/>
    <n v="2023"/>
  </r>
  <r>
    <x v="135"/>
    <s v="16-09-2023"/>
    <s v="Emma"/>
    <x v="4"/>
    <x v="1"/>
    <x v="2"/>
    <n v="9"/>
    <n v="3439.96"/>
    <n v="24"/>
    <x v="3"/>
    <x v="0"/>
    <x v="0"/>
    <n v="30959.64"/>
    <n v="7430.3135999999995"/>
    <x v="135"/>
    <x v="9"/>
    <n v="2023"/>
  </r>
  <r>
    <x v="136"/>
    <s v="01-04-2023"/>
    <s v="Charlie"/>
    <x v="0"/>
    <x v="1"/>
    <x v="4"/>
    <n v="2"/>
    <n v="1493.28"/>
    <n v="13"/>
    <x v="1"/>
    <x v="1"/>
    <x v="0"/>
    <n v="2986.56"/>
    <n v="388.25279999999998"/>
    <x v="136"/>
    <x v="7"/>
    <n v="2023"/>
  </r>
  <r>
    <x v="137"/>
    <s v="16-04-2023"/>
    <s v="David"/>
    <x v="2"/>
    <x v="1"/>
    <x v="1"/>
    <n v="10"/>
    <n v="891.63"/>
    <n v="3"/>
    <x v="3"/>
    <x v="2"/>
    <x v="2"/>
    <n v="8916.2999999999993"/>
    <n v="267.48899999999998"/>
    <x v="137"/>
    <x v="7"/>
    <n v="2023"/>
  </r>
  <r>
    <x v="138"/>
    <s v="18-06-2023"/>
    <s v="Bob"/>
    <x v="4"/>
    <x v="2"/>
    <x v="2"/>
    <n v="8"/>
    <n v="1478.34"/>
    <n v="23"/>
    <x v="3"/>
    <x v="2"/>
    <x v="0"/>
    <n v="11826.72"/>
    <n v="2720.1455999999998"/>
    <x v="138"/>
    <x v="6"/>
    <n v="2023"/>
  </r>
  <r>
    <x v="139"/>
    <s v="17-04-2023"/>
    <s v="Bob"/>
    <x v="0"/>
    <x v="1"/>
    <x v="2"/>
    <n v="10"/>
    <n v="3495.07"/>
    <n v="3"/>
    <x v="0"/>
    <x v="1"/>
    <x v="2"/>
    <n v="34950.700000000004"/>
    <n v="1048.521"/>
    <x v="139"/>
    <x v="7"/>
    <n v="2023"/>
  </r>
  <r>
    <x v="140"/>
    <s v="30-12-2023"/>
    <s v="Charlie"/>
    <x v="1"/>
    <x v="0"/>
    <x v="2"/>
    <n v="4"/>
    <n v="3713.46"/>
    <n v="5"/>
    <x v="3"/>
    <x v="1"/>
    <x v="1"/>
    <n v="14853.84"/>
    <n v="742.69200000000001"/>
    <x v="140"/>
    <x v="8"/>
    <n v="2023"/>
  </r>
  <r>
    <x v="141"/>
    <s v="03-02-2023"/>
    <s v="Emma"/>
    <x v="1"/>
    <x v="2"/>
    <x v="3"/>
    <n v="3"/>
    <n v="820.92"/>
    <n v="14"/>
    <x v="0"/>
    <x v="1"/>
    <x v="2"/>
    <n v="2462.7599999999998"/>
    <n v="344.78640000000001"/>
    <x v="141"/>
    <x v="5"/>
    <n v="2023"/>
  </r>
  <r>
    <x v="142"/>
    <s v="12-06-2023"/>
    <s v="Charlie"/>
    <x v="4"/>
    <x v="1"/>
    <x v="5"/>
    <n v="6"/>
    <n v="1171.05"/>
    <n v="14"/>
    <x v="3"/>
    <x v="2"/>
    <x v="2"/>
    <n v="7026.2999999999993"/>
    <n v="983.68199999999979"/>
    <x v="142"/>
    <x v="6"/>
    <n v="2023"/>
  </r>
  <r>
    <x v="143"/>
    <s v="22-06-2023"/>
    <s v="Frank"/>
    <x v="3"/>
    <x v="2"/>
    <x v="5"/>
    <n v="1"/>
    <n v="2312.4899999999998"/>
    <n v="18"/>
    <x v="3"/>
    <x v="2"/>
    <x v="1"/>
    <n v="2312.4899999999998"/>
    <n v="416.24819999999994"/>
    <x v="143"/>
    <x v="6"/>
    <n v="2023"/>
  </r>
  <r>
    <x v="144"/>
    <s v="18-02-2023"/>
    <s v="Charlie"/>
    <x v="1"/>
    <x v="1"/>
    <x v="2"/>
    <n v="10"/>
    <n v="4519.79"/>
    <n v="15"/>
    <x v="3"/>
    <x v="2"/>
    <x v="2"/>
    <n v="45197.9"/>
    <n v="6779.6850000000004"/>
    <x v="144"/>
    <x v="5"/>
    <n v="2023"/>
  </r>
  <r>
    <x v="145"/>
    <s v="23-04-2023"/>
    <s v="Charlie"/>
    <x v="0"/>
    <x v="0"/>
    <x v="5"/>
    <n v="8"/>
    <n v="332.45"/>
    <n v="23"/>
    <x v="1"/>
    <x v="0"/>
    <x v="0"/>
    <n v="2659.6"/>
    <n v="611.70799999999997"/>
    <x v="145"/>
    <x v="7"/>
    <n v="2023"/>
  </r>
  <r>
    <x v="146"/>
    <s v="18-03-2023"/>
    <s v="Emma"/>
    <x v="2"/>
    <x v="1"/>
    <x v="1"/>
    <n v="5"/>
    <n v="2620.89"/>
    <n v="24"/>
    <x v="1"/>
    <x v="2"/>
    <x v="0"/>
    <n v="13104.449999999999"/>
    <n v="3145.0679999999998"/>
    <x v="146"/>
    <x v="1"/>
    <n v="2023"/>
  </r>
  <r>
    <x v="147"/>
    <s v="13-11-2023"/>
    <s v="Alice"/>
    <x v="2"/>
    <x v="1"/>
    <x v="0"/>
    <n v="7"/>
    <n v="214.86"/>
    <n v="0"/>
    <x v="3"/>
    <x v="0"/>
    <x v="0"/>
    <n v="1504.02"/>
    <n v="0"/>
    <x v="147"/>
    <x v="2"/>
    <n v="2023"/>
  </r>
  <r>
    <x v="148"/>
    <s v="08-07-2023"/>
    <s v="Frank"/>
    <x v="1"/>
    <x v="1"/>
    <x v="3"/>
    <n v="8"/>
    <n v="3938.8"/>
    <n v="29"/>
    <x v="3"/>
    <x v="0"/>
    <x v="1"/>
    <n v="31510.400000000001"/>
    <n v="9138.0160000000014"/>
    <x v="148"/>
    <x v="0"/>
    <n v="2023"/>
  </r>
  <r>
    <x v="149"/>
    <s v="30-07-2023"/>
    <s v="Charlie"/>
    <x v="0"/>
    <x v="0"/>
    <x v="0"/>
    <n v="7"/>
    <n v="2377.87"/>
    <n v="3"/>
    <x v="3"/>
    <x v="1"/>
    <x v="1"/>
    <n v="16645.09"/>
    <n v="499.35270000000003"/>
    <x v="149"/>
    <x v="0"/>
    <n v="2023"/>
  </r>
  <r>
    <x v="150"/>
    <s v="16-05-2023"/>
    <s v="Bob"/>
    <x v="4"/>
    <x v="0"/>
    <x v="2"/>
    <n v="8"/>
    <n v="2194.7399999999998"/>
    <n v="25"/>
    <x v="0"/>
    <x v="1"/>
    <x v="1"/>
    <n v="17557.919999999998"/>
    <n v="4389.4799999999996"/>
    <x v="150"/>
    <x v="12"/>
    <n v="2023"/>
  </r>
  <r>
    <x v="151"/>
    <s v="11-04-2023"/>
    <s v="Alice"/>
    <x v="3"/>
    <x v="0"/>
    <x v="0"/>
    <n v="3"/>
    <n v="722.95"/>
    <n v="7"/>
    <x v="3"/>
    <x v="2"/>
    <x v="2"/>
    <n v="2168.8500000000004"/>
    <n v="151.81950000000003"/>
    <x v="151"/>
    <x v="7"/>
    <n v="2023"/>
  </r>
  <r>
    <x v="152"/>
    <s v="14-06-2023"/>
    <s v="Grace"/>
    <x v="1"/>
    <x v="1"/>
    <x v="3"/>
    <n v="6"/>
    <n v="2443.6799999999998"/>
    <n v="10"/>
    <x v="3"/>
    <x v="2"/>
    <x v="1"/>
    <n v="14662.079999999998"/>
    <n v="1466.2079999999999"/>
    <x v="152"/>
    <x v="6"/>
    <n v="2023"/>
  </r>
  <r>
    <x v="153"/>
    <s v="09-02-2023"/>
    <s v="Grace"/>
    <x v="3"/>
    <x v="0"/>
    <x v="0"/>
    <n v="2"/>
    <n v="1755.24"/>
    <n v="15"/>
    <x v="1"/>
    <x v="0"/>
    <x v="1"/>
    <n v="3510.48"/>
    <n v="526.572"/>
    <x v="153"/>
    <x v="5"/>
    <n v="2023"/>
  </r>
  <r>
    <x v="154"/>
    <s v="11-04-2023"/>
    <s v="Alice"/>
    <x v="2"/>
    <x v="1"/>
    <x v="2"/>
    <n v="1"/>
    <n v="4984.82"/>
    <n v="3"/>
    <x v="2"/>
    <x v="1"/>
    <x v="0"/>
    <n v="4984.82"/>
    <n v="149.5446"/>
    <x v="154"/>
    <x v="7"/>
    <n v="2023"/>
  </r>
  <r>
    <x v="155"/>
    <s v="17-01-2023"/>
    <s v="Henry"/>
    <x v="2"/>
    <x v="2"/>
    <x v="2"/>
    <n v="9"/>
    <n v="485.29"/>
    <n v="9"/>
    <x v="0"/>
    <x v="0"/>
    <x v="1"/>
    <n v="4367.6100000000006"/>
    <n v="393.08490000000006"/>
    <x v="155"/>
    <x v="3"/>
    <n v="2023"/>
  </r>
  <r>
    <x v="156"/>
    <s v="22-06-2023"/>
    <s v="Henry"/>
    <x v="0"/>
    <x v="2"/>
    <x v="3"/>
    <n v="10"/>
    <n v="3825.91"/>
    <n v="0"/>
    <x v="3"/>
    <x v="2"/>
    <x v="1"/>
    <n v="38259.1"/>
    <n v="0"/>
    <x v="156"/>
    <x v="6"/>
    <n v="2023"/>
  </r>
  <r>
    <x v="157"/>
    <s v="29-08-2023"/>
    <s v="Bob"/>
    <x v="0"/>
    <x v="2"/>
    <x v="5"/>
    <n v="3"/>
    <n v="2135.4899999999998"/>
    <n v="28"/>
    <x v="3"/>
    <x v="0"/>
    <x v="2"/>
    <n v="6406.4699999999993"/>
    <n v="1793.8115999999998"/>
    <x v="157"/>
    <x v="4"/>
    <n v="2023"/>
  </r>
  <r>
    <x v="158"/>
    <s v="23-11-2023"/>
    <s v="Charlie"/>
    <x v="0"/>
    <x v="0"/>
    <x v="2"/>
    <n v="8"/>
    <n v="277.81"/>
    <n v="16"/>
    <x v="2"/>
    <x v="0"/>
    <x v="1"/>
    <n v="2222.48"/>
    <n v="355.59680000000003"/>
    <x v="158"/>
    <x v="2"/>
    <n v="2023"/>
  </r>
  <r>
    <x v="159"/>
    <s v="16-06-2023"/>
    <s v="David"/>
    <x v="0"/>
    <x v="2"/>
    <x v="3"/>
    <n v="4"/>
    <n v="4493.32"/>
    <n v="12"/>
    <x v="0"/>
    <x v="0"/>
    <x v="2"/>
    <n v="17973.28"/>
    <n v="2156.7936"/>
    <x v="159"/>
    <x v="6"/>
    <n v="2023"/>
  </r>
  <r>
    <x v="160"/>
    <s v="01-09-2023"/>
    <s v="Charlie"/>
    <x v="0"/>
    <x v="1"/>
    <x v="0"/>
    <n v="8"/>
    <n v="344.21"/>
    <n v="17"/>
    <x v="3"/>
    <x v="0"/>
    <x v="1"/>
    <n v="2753.68"/>
    <n v="468.12559999999996"/>
    <x v="160"/>
    <x v="9"/>
    <n v="2023"/>
  </r>
  <r>
    <x v="161"/>
    <s v="12-03-2023"/>
    <s v="Emma"/>
    <x v="4"/>
    <x v="2"/>
    <x v="4"/>
    <n v="10"/>
    <n v="2512.16"/>
    <n v="21"/>
    <x v="1"/>
    <x v="0"/>
    <x v="2"/>
    <n v="25121.599999999999"/>
    <n v="5275.5360000000001"/>
    <x v="161"/>
    <x v="1"/>
    <n v="2023"/>
  </r>
  <r>
    <x v="162"/>
    <s v="03-10-2023"/>
    <s v="David"/>
    <x v="1"/>
    <x v="2"/>
    <x v="0"/>
    <n v="8"/>
    <n v="439.77"/>
    <n v="14"/>
    <x v="3"/>
    <x v="2"/>
    <x v="1"/>
    <n v="3518.16"/>
    <n v="492.54239999999999"/>
    <x v="162"/>
    <x v="10"/>
    <n v="2023"/>
  </r>
  <r>
    <x v="163"/>
    <s v="09-10-2023"/>
    <s v="Charlie"/>
    <x v="3"/>
    <x v="0"/>
    <x v="5"/>
    <n v="3"/>
    <n v="2683.36"/>
    <n v="18"/>
    <x v="1"/>
    <x v="2"/>
    <x v="2"/>
    <n v="8050.08"/>
    <n v="1449.0144"/>
    <x v="163"/>
    <x v="10"/>
    <n v="2023"/>
  </r>
  <r>
    <x v="164"/>
    <s v="21-10-2023"/>
    <s v="Frank"/>
    <x v="4"/>
    <x v="1"/>
    <x v="2"/>
    <n v="3"/>
    <n v="2306.56"/>
    <n v="4"/>
    <x v="0"/>
    <x v="0"/>
    <x v="0"/>
    <n v="6919.68"/>
    <n v="276.78719999999998"/>
    <x v="164"/>
    <x v="10"/>
    <n v="2023"/>
  </r>
  <r>
    <x v="165"/>
    <s v="03-10-2023"/>
    <s v="Alice"/>
    <x v="4"/>
    <x v="0"/>
    <x v="3"/>
    <n v="9"/>
    <n v="1738.44"/>
    <n v="24"/>
    <x v="0"/>
    <x v="1"/>
    <x v="2"/>
    <n v="15645.960000000001"/>
    <n v="3755.0304000000006"/>
    <x v="165"/>
    <x v="10"/>
    <n v="2023"/>
  </r>
  <r>
    <x v="166"/>
    <s v="31-07-2023"/>
    <s v="Grace"/>
    <x v="0"/>
    <x v="0"/>
    <x v="4"/>
    <n v="5"/>
    <n v="1819.91"/>
    <n v="13"/>
    <x v="2"/>
    <x v="0"/>
    <x v="1"/>
    <n v="9099.5500000000011"/>
    <n v="1182.9415000000001"/>
    <x v="166"/>
    <x v="0"/>
    <n v="2023"/>
  </r>
  <r>
    <x v="167"/>
    <s v="09-03-2023"/>
    <s v="Emma"/>
    <x v="2"/>
    <x v="2"/>
    <x v="4"/>
    <n v="5"/>
    <n v="485.2"/>
    <n v="16"/>
    <x v="0"/>
    <x v="1"/>
    <x v="0"/>
    <n v="2426"/>
    <n v="388.16"/>
    <x v="167"/>
    <x v="1"/>
    <n v="2023"/>
  </r>
  <r>
    <x v="168"/>
    <s v="22-08-2023"/>
    <s v="Bob"/>
    <x v="3"/>
    <x v="2"/>
    <x v="5"/>
    <n v="7"/>
    <n v="474.72"/>
    <n v="15"/>
    <x v="2"/>
    <x v="0"/>
    <x v="2"/>
    <n v="3323.04"/>
    <n v="498.45599999999996"/>
    <x v="168"/>
    <x v="4"/>
    <n v="2023"/>
  </r>
  <r>
    <x v="169"/>
    <s v="22-08-2023"/>
    <s v="David"/>
    <x v="0"/>
    <x v="2"/>
    <x v="2"/>
    <n v="4"/>
    <n v="315.82"/>
    <n v="5"/>
    <x v="2"/>
    <x v="0"/>
    <x v="1"/>
    <n v="1263.28"/>
    <n v="63.163999999999994"/>
    <x v="169"/>
    <x v="4"/>
    <n v="2023"/>
  </r>
  <r>
    <x v="170"/>
    <s v="30-11-2023"/>
    <s v="Grace"/>
    <x v="2"/>
    <x v="0"/>
    <x v="0"/>
    <n v="4"/>
    <n v="3047.34"/>
    <n v="0"/>
    <x v="2"/>
    <x v="2"/>
    <x v="2"/>
    <n v="12189.36"/>
    <n v="0"/>
    <x v="170"/>
    <x v="2"/>
    <n v="2023"/>
  </r>
  <r>
    <x v="171"/>
    <s v="26-03-2023"/>
    <s v="Charlie"/>
    <x v="2"/>
    <x v="0"/>
    <x v="0"/>
    <n v="6"/>
    <n v="4763.43"/>
    <n v="30"/>
    <x v="2"/>
    <x v="2"/>
    <x v="0"/>
    <n v="28580.58"/>
    <n v="8574.1740000000009"/>
    <x v="171"/>
    <x v="1"/>
    <n v="2023"/>
  </r>
  <r>
    <x v="172"/>
    <s v="24-12-2023"/>
    <s v="Bob"/>
    <x v="2"/>
    <x v="1"/>
    <x v="1"/>
    <n v="2"/>
    <n v="3585.99"/>
    <n v="1"/>
    <x v="3"/>
    <x v="0"/>
    <x v="0"/>
    <n v="7171.98"/>
    <n v="71.719799999999992"/>
    <x v="172"/>
    <x v="8"/>
    <n v="2023"/>
  </r>
  <r>
    <x v="173"/>
    <s v="12-03-2023"/>
    <s v="Bob"/>
    <x v="2"/>
    <x v="1"/>
    <x v="5"/>
    <n v="3"/>
    <n v="684.93"/>
    <n v="19"/>
    <x v="2"/>
    <x v="0"/>
    <x v="0"/>
    <n v="2054.79"/>
    <n v="390.4101"/>
    <x v="173"/>
    <x v="1"/>
    <n v="2023"/>
  </r>
  <r>
    <x v="174"/>
    <s v="03-09-2023"/>
    <s v="Charlie"/>
    <x v="0"/>
    <x v="2"/>
    <x v="2"/>
    <n v="4"/>
    <n v="2055.42"/>
    <n v="28"/>
    <x v="2"/>
    <x v="1"/>
    <x v="2"/>
    <n v="8221.68"/>
    <n v="2302.0704000000001"/>
    <x v="174"/>
    <x v="9"/>
    <n v="2023"/>
  </r>
  <r>
    <x v="175"/>
    <s v="14-10-2023"/>
    <s v="Henry"/>
    <x v="1"/>
    <x v="0"/>
    <x v="2"/>
    <n v="10"/>
    <n v="3105.46"/>
    <n v="15"/>
    <x v="3"/>
    <x v="2"/>
    <x v="1"/>
    <n v="31054.6"/>
    <n v="4658.1899999999996"/>
    <x v="175"/>
    <x v="10"/>
    <n v="2023"/>
  </r>
  <r>
    <x v="176"/>
    <s v="14-01-2023"/>
    <s v="Grace"/>
    <x v="4"/>
    <x v="0"/>
    <x v="0"/>
    <n v="6"/>
    <n v="4654.05"/>
    <n v="26"/>
    <x v="0"/>
    <x v="2"/>
    <x v="1"/>
    <n v="27924.300000000003"/>
    <n v="7260.3180000000002"/>
    <x v="176"/>
    <x v="3"/>
    <n v="2023"/>
  </r>
  <r>
    <x v="177"/>
    <s v="25-11-2023"/>
    <s v="Frank"/>
    <x v="1"/>
    <x v="2"/>
    <x v="2"/>
    <n v="5"/>
    <n v="4323.09"/>
    <n v="3"/>
    <x v="1"/>
    <x v="2"/>
    <x v="2"/>
    <n v="21615.45"/>
    <n v="648.46350000000007"/>
    <x v="177"/>
    <x v="2"/>
    <n v="2023"/>
  </r>
  <r>
    <x v="178"/>
    <s v="13-01-2023"/>
    <s v="Emma"/>
    <x v="1"/>
    <x v="1"/>
    <x v="1"/>
    <n v="3"/>
    <n v="1494.03"/>
    <n v="2"/>
    <x v="0"/>
    <x v="1"/>
    <x v="1"/>
    <n v="4482.09"/>
    <n v="89.641800000000003"/>
    <x v="178"/>
    <x v="3"/>
    <n v="2023"/>
  </r>
  <r>
    <x v="179"/>
    <s v="12-01-2023"/>
    <s v="Emma"/>
    <x v="1"/>
    <x v="2"/>
    <x v="0"/>
    <n v="10"/>
    <n v="1945.29"/>
    <n v="14"/>
    <x v="0"/>
    <x v="0"/>
    <x v="2"/>
    <n v="19452.900000000001"/>
    <n v="2723.4060000000004"/>
    <x v="179"/>
    <x v="3"/>
    <n v="2023"/>
  </r>
  <r>
    <x v="180"/>
    <s v="15-11-2023"/>
    <s v="Frank"/>
    <x v="1"/>
    <x v="1"/>
    <x v="3"/>
    <n v="1"/>
    <n v="1802.49"/>
    <n v="23"/>
    <x v="3"/>
    <x v="1"/>
    <x v="0"/>
    <n v="1802.49"/>
    <n v="414.57269999999994"/>
    <x v="180"/>
    <x v="2"/>
    <n v="2023"/>
  </r>
  <r>
    <x v="181"/>
    <s v="29-10-2023"/>
    <s v="Alice"/>
    <x v="1"/>
    <x v="0"/>
    <x v="2"/>
    <n v="4"/>
    <n v="3084.16"/>
    <n v="19"/>
    <x v="2"/>
    <x v="2"/>
    <x v="2"/>
    <n v="12336.64"/>
    <n v="2343.9615999999996"/>
    <x v="181"/>
    <x v="10"/>
    <n v="2023"/>
  </r>
  <r>
    <x v="182"/>
    <s v="12-03-2023"/>
    <s v="Charlie"/>
    <x v="2"/>
    <x v="1"/>
    <x v="0"/>
    <n v="1"/>
    <n v="2704.83"/>
    <n v="5"/>
    <x v="2"/>
    <x v="1"/>
    <x v="2"/>
    <n v="2704.83"/>
    <n v="135.2415"/>
    <x v="182"/>
    <x v="1"/>
    <n v="2023"/>
  </r>
  <r>
    <x v="183"/>
    <s v="18-08-2023"/>
    <s v="David"/>
    <x v="0"/>
    <x v="0"/>
    <x v="3"/>
    <n v="4"/>
    <n v="4508.2299999999996"/>
    <n v="15"/>
    <x v="1"/>
    <x v="2"/>
    <x v="1"/>
    <n v="18032.919999999998"/>
    <n v="2704.9380000000001"/>
    <x v="183"/>
    <x v="4"/>
    <n v="2023"/>
  </r>
  <r>
    <x v="184"/>
    <s v="28-08-2023"/>
    <s v="Charlie"/>
    <x v="3"/>
    <x v="2"/>
    <x v="2"/>
    <n v="4"/>
    <n v="4579.9399999999996"/>
    <n v="13"/>
    <x v="0"/>
    <x v="2"/>
    <x v="2"/>
    <n v="18319.759999999998"/>
    <n v="2381.5687999999996"/>
    <x v="184"/>
    <x v="4"/>
    <n v="2023"/>
  </r>
  <r>
    <x v="185"/>
    <s v="08-02-2023"/>
    <s v="Frank"/>
    <x v="0"/>
    <x v="1"/>
    <x v="4"/>
    <n v="3"/>
    <n v="4410.49"/>
    <n v="6"/>
    <x v="1"/>
    <x v="0"/>
    <x v="0"/>
    <n v="13231.47"/>
    <n v="793.88819999999987"/>
    <x v="185"/>
    <x v="5"/>
    <n v="2023"/>
  </r>
  <r>
    <x v="186"/>
    <s v="13-06-2023"/>
    <s v="Henry"/>
    <x v="2"/>
    <x v="0"/>
    <x v="5"/>
    <n v="10"/>
    <n v="3630.58"/>
    <n v="22"/>
    <x v="3"/>
    <x v="0"/>
    <x v="2"/>
    <n v="36305.800000000003"/>
    <n v="7987.2760000000007"/>
    <x v="186"/>
    <x v="6"/>
    <n v="2023"/>
  </r>
  <r>
    <x v="187"/>
    <s v="24-12-2023"/>
    <s v="Emma"/>
    <x v="3"/>
    <x v="0"/>
    <x v="4"/>
    <n v="7"/>
    <n v="2934.48"/>
    <n v="5"/>
    <x v="1"/>
    <x v="1"/>
    <x v="0"/>
    <n v="20541.36"/>
    <n v="1027.068"/>
    <x v="187"/>
    <x v="8"/>
    <n v="2023"/>
  </r>
  <r>
    <x v="188"/>
    <s v="29-09-2023"/>
    <s v="Henry"/>
    <x v="3"/>
    <x v="2"/>
    <x v="1"/>
    <n v="7"/>
    <n v="4161.62"/>
    <n v="28"/>
    <x v="2"/>
    <x v="1"/>
    <x v="2"/>
    <n v="29131.34"/>
    <n v="8156.7752"/>
    <x v="188"/>
    <x v="9"/>
    <n v="2023"/>
  </r>
  <r>
    <x v="189"/>
    <s v="24-06-2023"/>
    <s v="Henry"/>
    <x v="2"/>
    <x v="1"/>
    <x v="5"/>
    <n v="9"/>
    <n v="1314.64"/>
    <n v="13"/>
    <x v="2"/>
    <x v="0"/>
    <x v="2"/>
    <n v="11831.76"/>
    <n v="1538.1288"/>
    <x v="189"/>
    <x v="6"/>
    <n v="2023"/>
  </r>
  <r>
    <x v="190"/>
    <s v="24-06-2023"/>
    <s v="Bob"/>
    <x v="1"/>
    <x v="1"/>
    <x v="3"/>
    <n v="5"/>
    <n v="177.21"/>
    <n v="8"/>
    <x v="3"/>
    <x v="1"/>
    <x v="2"/>
    <n v="886.05000000000007"/>
    <n v="70.884"/>
    <x v="190"/>
    <x v="6"/>
    <n v="2023"/>
  </r>
  <r>
    <x v="191"/>
    <s v="05-05-2023"/>
    <s v="Charlie"/>
    <x v="1"/>
    <x v="0"/>
    <x v="4"/>
    <n v="5"/>
    <n v="2369.61"/>
    <n v="4"/>
    <x v="0"/>
    <x v="2"/>
    <x v="0"/>
    <n v="11848.050000000001"/>
    <n v="473.92200000000003"/>
    <x v="191"/>
    <x v="12"/>
    <n v="2023"/>
  </r>
  <r>
    <x v="192"/>
    <s v="20-05-2023"/>
    <s v="Henry"/>
    <x v="4"/>
    <x v="2"/>
    <x v="4"/>
    <n v="1"/>
    <n v="1629.91"/>
    <n v="20"/>
    <x v="3"/>
    <x v="0"/>
    <x v="0"/>
    <n v="1629.91"/>
    <n v="325.98200000000003"/>
    <x v="192"/>
    <x v="12"/>
    <n v="2023"/>
  </r>
  <r>
    <x v="193"/>
    <s v="09-08-2023"/>
    <s v="Henry"/>
    <x v="1"/>
    <x v="1"/>
    <x v="3"/>
    <n v="4"/>
    <n v="1119.33"/>
    <n v="28"/>
    <x v="0"/>
    <x v="1"/>
    <x v="1"/>
    <n v="4477.32"/>
    <n v="1253.6496"/>
    <x v="193"/>
    <x v="4"/>
    <n v="2023"/>
  </r>
  <r>
    <x v="194"/>
    <s v="05-02-2023"/>
    <s v="Emma"/>
    <x v="4"/>
    <x v="0"/>
    <x v="0"/>
    <n v="4"/>
    <n v="2554.3000000000002"/>
    <n v="21"/>
    <x v="3"/>
    <x v="1"/>
    <x v="0"/>
    <n v="10217.200000000001"/>
    <n v="2145.6120000000001"/>
    <x v="194"/>
    <x v="5"/>
    <n v="2023"/>
  </r>
  <r>
    <x v="195"/>
    <s v="03-06-2023"/>
    <s v="Bob"/>
    <x v="1"/>
    <x v="2"/>
    <x v="2"/>
    <n v="1"/>
    <n v="3746.4"/>
    <n v="20"/>
    <x v="2"/>
    <x v="1"/>
    <x v="0"/>
    <n v="3746.4"/>
    <n v="749.28"/>
    <x v="195"/>
    <x v="6"/>
    <n v="2023"/>
  </r>
  <r>
    <x v="196"/>
    <s v="19-08-2023"/>
    <s v="Emma"/>
    <x v="3"/>
    <x v="0"/>
    <x v="1"/>
    <n v="4"/>
    <n v="1306.6400000000001"/>
    <n v="5"/>
    <x v="1"/>
    <x v="2"/>
    <x v="0"/>
    <n v="5226.5600000000004"/>
    <n v="261.32800000000003"/>
    <x v="196"/>
    <x v="4"/>
    <n v="2023"/>
  </r>
  <r>
    <x v="197"/>
    <s v="27-12-2023"/>
    <s v="Grace"/>
    <x v="2"/>
    <x v="1"/>
    <x v="1"/>
    <n v="4"/>
    <n v="3705.86"/>
    <n v="19"/>
    <x v="0"/>
    <x v="2"/>
    <x v="2"/>
    <n v="14823.44"/>
    <n v="2816.4535999999998"/>
    <x v="197"/>
    <x v="8"/>
    <n v="2023"/>
  </r>
  <r>
    <x v="198"/>
    <s v="12-03-2023"/>
    <s v="Grace"/>
    <x v="4"/>
    <x v="0"/>
    <x v="1"/>
    <n v="7"/>
    <n v="2184.86"/>
    <n v="22"/>
    <x v="1"/>
    <x v="2"/>
    <x v="1"/>
    <n v="15294.02"/>
    <n v="3364.6844000000001"/>
    <x v="198"/>
    <x v="1"/>
    <n v="2023"/>
  </r>
  <r>
    <x v="199"/>
    <s v="23-03-2023"/>
    <s v="Bob"/>
    <x v="4"/>
    <x v="0"/>
    <x v="4"/>
    <n v="5"/>
    <n v="1753.1"/>
    <n v="20"/>
    <x v="1"/>
    <x v="2"/>
    <x v="0"/>
    <n v="8765.5"/>
    <n v="1753.1"/>
    <x v="199"/>
    <x v="1"/>
    <n v="2023"/>
  </r>
  <r>
    <x v="200"/>
    <s v="16-01-2023"/>
    <s v="Frank"/>
    <x v="1"/>
    <x v="1"/>
    <x v="3"/>
    <n v="8"/>
    <n v="3143.06"/>
    <n v="7"/>
    <x v="0"/>
    <x v="2"/>
    <x v="0"/>
    <n v="25144.48"/>
    <n v="1760.1135999999999"/>
    <x v="200"/>
    <x v="3"/>
    <n v="2023"/>
  </r>
  <r>
    <x v="201"/>
    <s v="28-02-2023"/>
    <s v="Alice"/>
    <x v="1"/>
    <x v="1"/>
    <x v="5"/>
    <n v="2"/>
    <n v="140.54"/>
    <n v="26"/>
    <x v="3"/>
    <x v="2"/>
    <x v="0"/>
    <n v="281.08"/>
    <n v="73.080799999999996"/>
    <x v="201"/>
    <x v="5"/>
    <n v="2023"/>
  </r>
  <r>
    <x v="202"/>
    <s v="13-05-2023"/>
    <s v="David"/>
    <x v="4"/>
    <x v="1"/>
    <x v="0"/>
    <n v="5"/>
    <n v="4701.0200000000004"/>
    <n v="6"/>
    <x v="3"/>
    <x v="0"/>
    <x v="2"/>
    <n v="23505.100000000002"/>
    <n v="1410.306"/>
    <x v="202"/>
    <x v="12"/>
    <n v="2023"/>
  </r>
  <r>
    <x v="203"/>
    <s v="02-09-2023"/>
    <s v="Grace"/>
    <x v="0"/>
    <x v="0"/>
    <x v="4"/>
    <n v="1"/>
    <n v="2840.21"/>
    <n v="13"/>
    <x v="3"/>
    <x v="2"/>
    <x v="0"/>
    <n v="2840.21"/>
    <n v="369.22730000000001"/>
    <x v="203"/>
    <x v="9"/>
    <n v="2023"/>
  </r>
  <r>
    <x v="204"/>
    <s v="21-03-2023"/>
    <s v="Alice"/>
    <x v="3"/>
    <x v="1"/>
    <x v="1"/>
    <n v="8"/>
    <n v="4548.5600000000004"/>
    <n v="18"/>
    <x v="2"/>
    <x v="1"/>
    <x v="2"/>
    <n v="36388.480000000003"/>
    <n v="6549.9264000000003"/>
    <x v="204"/>
    <x v="1"/>
    <n v="2023"/>
  </r>
  <r>
    <x v="205"/>
    <s v="20-08-2023"/>
    <s v="Henry"/>
    <x v="2"/>
    <x v="2"/>
    <x v="2"/>
    <n v="3"/>
    <n v="1999.98"/>
    <n v="30"/>
    <x v="0"/>
    <x v="1"/>
    <x v="2"/>
    <n v="5999.9400000000005"/>
    <n v="1799.9820000000002"/>
    <x v="205"/>
    <x v="4"/>
    <n v="2023"/>
  </r>
  <r>
    <x v="206"/>
    <s v="24-05-2023"/>
    <s v="Emma"/>
    <x v="1"/>
    <x v="0"/>
    <x v="0"/>
    <n v="10"/>
    <n v="259.08"/>
    <n v="17"/>
    <x v="1"/>
    <x v="0"/>
    <x v="1"/>
    <n v="2590.7999999999997"/>
    <n v="440.43599999999998"/>
    <x v="206"/>
    <x v="12"/>
    <n v="2023"/>
  </r>
  <r>
    <x v="207"/>
    <s v="19-07-2023"/>
    <s v="Frank"/>
    <x v="3"/>
    <x v="1"/>
    <x v="0"/>
    <n v="7"/>
    <n v="1478.34"/>
    <n v="17"/>
    <x v="2"/>
    <x v="1"/>
    <x v="1"/>
    <n v="10348.379999999999"/>
    <n v="1759.2246"/>
    <x v="207"/>
    <x v="0"/>
    <n v="2023"/>
  </r>
  <r>
    <x v="208"/>
    <s v="03-11-2023"/>
    <s v="Bob"/>
    <x v="4"/>
    <x v="1"/>
    <x v="2"/>
    <n v="3"/>
    <n v="881.92"/>
    <n v="1"/>
    <x v="3"/>
    <x v="2"/>
    <x v="1"/>
    <n v="2645.7599999999998"/>
    <n v="26.457599999999999"/>
    <x v="208"/>
    <x v="2"/>
    <n v="2023"/>
  </r>
  <r>
    <x v="209"/>
    <s v="18-10-2023"/>
    <s v="Alice"/>
    <x v="4"/>
    <x v="1"/>
    <x v="2"/>
    <n v="5"/>
    <n v="1984.22"/>
    <n v="14"/>
    <x v="1"/>
    <x v="0"/>
    <x v="0"/>
    <n v="9921.1"/>
    <n v="1388.954"/>
    <x v="209"/>
    <x v="10"/>
    <n v="2023"/>
  </r>
  <r>
    <x v="210"/>
    <s v="30-12-2023"/>
    <s v="Henry"/>
    <x v="1"/>
    <x v="2"/>
    <x v="1"/>
    <n v="10"/>
    <n v="1178.79"/>
    <n v="28"/>
    <x v="3"/>
    <x v="1"/>
    <x v="1"/>
    <n v="11787.9"/>
    <n v="3300.6120000000001"/>
    <x v="210"/>
    <x v="8"/>
    <n v="2023"/>
  </r>
  <r>
    <x v="211"/>
    <s v="19-06-2023"/>
    <s v="David"/>
    <x v="2"/>
    <x v="1"/>
    <x v="5"/>
    <n v="2"/>
    <n v="509.71"/>
    <n v="24"/>
    <x v="3"/>
    <x v="0"/>
    <x v="1"/>
    <n v="1019.42"/>
    <n v="244.66079999999999"/>
    <x v="211"/>
    <x v="6"/>
    <n v="2023"/>
  </r>
  <r>
    <x v="212"/>
    <s v="04-09-2023"/>
    <s v="Grace"/>
    <x v="1"/>
    <x v="0"/>
    <x v="5"/>
    <n v="7"/>
    <n v="2990.56"/>
    <n v="16"/>
    <x v="2"/>
    <x v="1"/>
    <x v="2"/>
    <n v="20933.919999999998"/>
    <n v="3349.4271999999996"/>
    <x v="212"/>
    <x v="9"/>
    <n v="2023"/>
  </r>
  <r>
    <x v="213"/>
    <s v="25-09-2023"/>
    <s v="Henry"/>
    <x v="1"/>
    <x v="1"/>
    <x v="4"/>
    <n v="10"/>
    <n v="245.29"/>
    <n v="7"/>
    <x v="2"/>
    <x v="2"/>
    <x v="2"/>
    <n v="2452.9"/>
    <n v="171.703"/>
    <x v="213"/>
    <x v="9"/>
    <n v="2023"/>
  </r>
  <r>
    <x v="214"/>
    <s v="15-09-2023"/>
    <s v="Frank"/>
    <x v="3"/>
    <x v="0"/>
    <x v="2"/>
    <n v="8"/>
    <n v="4919.93"/>
    <n v="26"/>
    <x v="2"/>
    <x v="1"/>
    <x v="1"/>
    <n v="39359.440000000002"/>
    <n v="10233.454400000001"/>
    <x v="214"/>
    <x v="9"/>
    <n v="2023"/>
  </r>
  <r>
    <x v="215"/>
    <s v="04-10-2023"/>
    <s v="David"/>
    <x v="4"/>
    <x v="2"/>
    <x v="0"/>
    <n v="4"/>
    <n v="1956.4"/>
    <n v="23"/>
    <x v="2"/>
    <x v="1"/>
    <x v="0"/>
    <n v="7825.6"/>
    <n v="1799.8880000000001"/>
    <x v="215"/>
    <x v="10"/>
    <n v="2023"/>
  </r>
  <r>
    <x v="216"/>
    <s v="24-01-2023"/>
    <s v="Bob"/>
    <x v="1"/>
    <x v="0"/>
    <x v="2"/>
    <n v="5"/>
    <n v="1549.68"/>
    <n v="29"/>
    <x v="3"/>
    <x v="0"/>
    <x v="2"/>
    <n v="7748.4000000000005"/>
    <n v="2247.0360000000001"/>
    <x v="216"/>
    <x v="3"/>
    <n v="2023"/>
  </r>
  <r>
    <x v="217"/>
    <s v="08-10-2023"/>
    <s v="David"/>
    <x v="0"/>
    <x v="0"/>
    <x v="2"/>
    <n v="7"/>
    <n v="559.86"/>
    <n v="7"/>
    <x v="2"/>
    <x v="0"/>
    <x v="2"/>
    <n v="3919.02"/>
    <n v="274.33139999999997"/>
    <x v="217"/>
    <x v="10"/>
    <n v="2023"/>
  </r>
  <r>
    <x v="218"/>
    <s v="31-01-2023"/>
    <s v="David"/>
    <x v="4"/>
    <x v="1"/>
    <x v="0"/>
    <n v="6"/>
    <n v="959.34"/>
    <n v="18"/>
    <x v="2"/>
    <x v="2"/>
    <x v="1"/>
    <n v="5756.04"/>
    <n v="1036.0871999999999"/>
    <x v="218"/>
    <x v="3"/>
    <n v="2023"/>
  </r>
  <r>
    <x v="219"/>
    <s v="16-02-2023"/>
    <s v="Henry"/>
    <x v="1"/>
    <x v="0"/>
    <x v="0"/>
    <n v="9"/>
    <n v="4993.1000000000004"/>
    <n v="9"/>
    <x v="1"/>
    <x v="1"/>
    <x v="0"/>
    <n v="44937.9"/>
    <n v="4044.4110000000005"/>
    <x v="219"/>
    <x v="5"/>
    <n v="2023"/>
  </r>
  <r>
    <x v="220"/>
    <s v="10-10-2023"/>
    <s v="David"/>
    <x v="2"/>
    <x v="2"/>
    <x v="4"/>
    <n v="7"/>
    <n v="4144.79"/>
    <n v="13"/>
    <x v="3"/>
    <x v="1"/>
    <x v="0"/>
    <n v="29013.53"/>
    <n v="3771.7589000000003"/>
    <x v="220"/>
    <x v="10"/>
    <n v="2023"/>
  </r>
  <r>
    <x v="221"/>
    <s v="19-12-2023"/>
    <s v="Frank"/>
    <x v="0"/>
    <x v="1"/>
    <x v="3"/>
    <n v="8"/>
    <n v="1111.1500000000001"/>
    <n v="21"/>
    <x v="2"/>
    <x v="1"/>
    <x v="1"/>
    <n v="8889.2000000000007"/>
    <n v="1866.7320000000002"/>
    <x v="221"/>
    <x v="8"/>
    <n v="2023"/>
  </r>
  <r>
    <x v="222"/>
    <s v="23-06-2023"/>
    <s v="Frank"/>
    <x v="3"/>
    <x v="1"/>
    <x v="4"/>
    <n v="2"/>
    <n v="2100.9499999999998"/>
    <n v="8"/>
    <x v="0"/>
    <x v="2"/>
    <x v="1"/>
    <n v="4201.8999999999996"/>
    <n v="336.15199999999999"/>
    <x v="222"/>
    <x v="6"/>
    <n v="2023"/>
  </r>
  <r>
    <x v="223"/>
    <s v="08-07-2023"/>
    <s v="Frank"/>
    <x v="3"/>
    <x v="2"/>
    <x v="0"/>
    <n v="10"/>
    <n v="952.36"/>
    <n v="24"/>
    <x v="3"/>
    <x v="2"/>
    <x v="1"/>
    <n v="9523.6"/>
    <n v="2285.6640000000002"/>
    <x v="223"/>
    <x v="0"/>
    <n v="2023"/>
  </r>
  <r>
    <x v="224"/>
    <s v="04-06-2023"/>
    <s v="Emma"/>
    <x v="4"/>
    <x v="2"/>
    <x v="1"/>
    <n v="10"/>
    <n v="3460.76"/>
    <n v="16"/>
    <x v="1"/>
    <x v="0"/>
    <x v="2"/>
    <n v="34607.600000000006"/>
    <n v="5537.2160000000013"/>
    <x v="224"/>
    <x v="6"/>
    <n v="2023"/>
  </r>
  <r>
    <x v="225"/>
    <s v="08-10-2023"/>
    <s v="Henry"/>
    <x v="2"/>
    <x v="1"/>
    <x v="0"/>
    <n v="3"/>
    <n v="1425.62"/>
    <n v="10"/>
    <x v="1"/>
    <x v="2"/>
    <x v="0"/>
    <n v="4276.8599999999997"/>
    <n v="427.68599999999998"/>
    <x v="225"/>
    <x v="10"/>
    <n v="2023"/>
  </r>
  <r>
    <x v="226"/>
    <s v="15-06-2023"/>
    <s v="Emma"/>
    <x v="3"/>
    <x v="2"/>
    <x v="1"/>
    <n v="4"/>
    <n v="2291.06"/>
    <n v="22"/>
    <x v="2"/>
    <x v="1"/>
    <x v="1"/>
    <n v="9164.24"/>
    <n v="2016.1328000000001"/>
    <x v="226"/>
    <x v="6"/>
    <n v="2023"/>
  </r>
  <r>
    <x v="227"/>
    <s v="16-12-2023"/>
    <s v="Charlie"/>
    <x v="0"/>
    <x v="0"/>
    <x v="3"/>
    <n v="8"/>
    <n v="4390.3"/>
    <n v="12"/>
    <x v="1"/>
    <x v="2"/>
    <x v="0"/>
    <n v="35122.400000000001"/>
    <n v="4214.6880000000001"/>
    <x v="227"/>
    <x v="8"/>
    <n v="2023"/>
  </r>
  <r>
    <x v="228"/>
    <s v="27-10-2023"/>
    <s v="Frank"/>
    <x v="4"/>
    <x v="1"/>
    <x v="5"/>
    <n v="5"/>
    <n v="3099.96"/>
    <n v="0"/>
    <x v="2"/>
    <x v="1"/>
    <x v="2"/>
    <n v="15499.8"/>
    <n v="0"/>
    <x v="228"/>
    <x v="10"/>
    <n v="2023"/>
  </r>
  <r>
    <x v="229"/>
    <s v="17-08-2023"/>
    <s v="Frank"/>
    <x v="3"/>
    <x v="0"/>
    <x v="1"/>
    <n v="10"/>
    <n v="3193.28"/>
    <n v="16"/>
    <x v="0"/>
    <x v="1"/>
    <x v="2"/>
    <n v="31932.800000000003"/>
    <n v="5109.2480000000005"/>
    <x v="229"/>
    <x v="4"/>
    <n v="2023"/>
  </r>
  <r>
    <x v="230"/>
    <s v="03-03-2023"/>
    <s v="Henry"/>
    <x v="2"/>
    <x v="0"/>
    <x v="5"/>
    <n v="7"/>
    <n v="673.19"/>
    <n v="8"/>
    <x v="1"/>
    <x v="1"/>
    <x v="2"/>
    <n v="4712.33"/>
    <n v="376.9864"/>
    <x v="230"/>
    <x v="1"/>
    <n v="2023"/>
  </r>
  <r>
    <x v="231"/>
    <s v="19-05-2023"/>
    <s v="Alice"/>
    <x v="3"/>
    <x v="1"/>
    <x v="4"/>
    <n v="4"/>
    <n v="4891.68"/>
    <n v="26"/>
    <x v="2"/>
    <x v="0"/>
    <x v="1"/>
    <n v="19566.72"/>
    <n v="5087.3472000000002"/>
    <x v="231"/>
    <x v="12"/>
    <n v="2023"/>
  </r>
  <r>
    <x v="232"/>
    <s v="01-03-2023"/>
    <s v="Grace"/>
    <x v="3"/>
    <x v="0"/>
    <x v="2"/>
    <n v="10"/>
    <n v="1597"/>
    <n v="16"/>
    <x v="0"/>
    <x v="2"/>
    <x v="2"/>
    <n v="15970"/>
    <n v="2555.1999999999998"/>
    <x v="232"/>
    <x v="1"/>
    <n v="2023"/>
  </r>
  <r>
    <x v="233"/>
    <s v="23-10-2023"/>
    <s v="Grace"/>
    <x v="2"/>
    <x v="1"/>
    <x v="1"/>
    <n v="4"/>
    <n v="4641.18"/>
    <n v="15"/>
    <x v="2"/>
    <x v="1"/>
    <x v="2"/>
    <n v="18564.72"/>
    <n v="2784.7080000000005"/>
    <x v="233"/>
    <x v="10"/>
    <n v="2023"/>
  </r>
  <r>
    <x v="234"/>
    <s v="25-12-2023"/>
    <s v="Grace"/>
    <x v="2"/>
    <x v="0"/>
    <x v="3"/>
    <n v="8"/>
    <n v="3343.06"/>
    <n v="28"/>
    <x v="2"/>
    <x v="0"/>
    <x v="1"/>
    <n v="26744.48"/>
    <n v="7488.4543999999996"/>
    <x v="234"/>
    <x v="8"/>
    <n v="2023"/>
  </r>
  <r>
    <x v="235"/>
    <s v="05-04-2023"/>
    <s v="Charlie"/>
    <x v="0"/>
    <x v="2"/>
    <x v="4"/>
    <n v="2"/>
    <n v="898.3"/>
    <n v="13"/>
    <x v="0"/>
    <x v="0"/>
    <x v="1"/>
    <n v="1796.6"/>
    <n v="233.55799999999999"/>
    <x v="235"/>
    <x v="7"/>
    <n v="2023"/>
  </r>
  <r>
    <x v="236"/>
    <s v="18-01-2023"/>
    <s v="Grace"/>
    <x v="0"/>
    <x v="2"/>
    <x v="5"/>
    <n v="1"/>
    <n v="3665.33"/>
    <n v="27"/>
    <x v="2"/>
    <x v="1"/>
    <x v="2"/>
    <n v="3665.33"/>
    <n v="989.63909999999998"/>
    <x v="236"/>
    <x v="3"/>
    <n v="2023"/>
  </r>
  <r>
    <x v="237"/>
    <s v="07-05-2023"/>
    <s v="Henry"/>
    <x v="0"/>
    <x v="1"/>
    <x v="0"/>
    <n v="3"/>
    <n v="4700.3100000000004"/>
    <n v="17"/>
    <x v="3"/>
    <x v="2"/>
    <x v="2"/>
    <n v="14100.93"/>
    <n v="2397.1581000000001"/>
    <x v="237"/>
    <x v="12"/>
    <n v="2023"/>
  </r>
  <r>
    <x v="238"/>
    <s v="10-06-2023"/>
    <s v="Frank"/>
    <x v="4"/>
    <x v="2"/>
    <x v="2"/>
    <n v="7"/>
    <n v="4185.24"/>
    <n v="16"/>
    <x v="2"/>
    <x v="1"/>
    <x v="0"/>
    <n v="29296.68"/>
    <n v="4687.4687999999996"/>
    <x v="238"/>
    <x v="6"/>
    <n v="2023"/>
  </r>
  <r>
    <x v="239"/>
    <s v="19-06-2023"/>
    <s v="Charlie"/>
    <x v="2"/>
    <x v="2"/>
    <x v="4"/>
    <n v="9"/>
    <n v="1860.4"/>
    <n v="20"/>
    <x v="0"/>
    <x v="1"/>
    <x v="1"/>
    <n v="16743.600000000002"/>
    <n v="3348.7200000000007"/>
    <x v="239"/>
    <x v="6"/>
    <n v="2023"/>
  </r>
  <r>
    <x v="240"/>
    <s v="18-04-2023"/>
    <s v="Grace"/>
    <x v="4"/>
    <x v="2"/>
    <x v="0"/>
    <n v="4"/>
    <n v="3453.16"/>
    <n v="27"/>
    <x v="1"/>
    <x v="2"/>
    <x v="1"/>
    <n v="13812.64"/>
    <n v="3729.4127999999996"/>
    <x v="240"/>
    <x v="7"/>
    <n v="2023"/>
  </r>
  <r>
    <x v="241"/>
    <s v="02-09-2023"/>
    <s v="Alice"/>
    <x v="3"/>
    <x v="0"/>
    <x v="1"/>
    <n v="10"/>
    <n v="4029.76"/>
    <n v="28"/>
    <x v="0"/>
    <x v="0"/>
    <x v="2"/>
    <n v="40297.600000000006"/>
    <n v="11283.328000000003"/>
    <x v="241"/>
    <x v="9"/>
    <n v="2023"/>
  </r>
  <r>
    <x v="242"/>
    <s v="24-06-2023"/>
    <s v="Charlie"/>
    <x v="1"/>
    <x v="1"/>
    <x v="0"/>
    <n v="5"/>
    <n v="910.65"/>
    <n v="16"/>
    <x v="0"/>
    <x v="2"/>
    <x v="1"/>
    <n v="4553.25"/>
    <n v="728.52"/>
    <x v="242"/>
    <x v="6"/>
    <n v="2023"/>
  </r>
  <r>
    <x v="243"/>
    <s v="09-02-2023"/>
    <s v="Frank"/>
    <x v="0"/>
    <x v="1"/>
    <x v="0"/>
    <n v="3"/>
    <n v="4987.2"/>
    <n v="6"/>
    <x v="1"/>
    <x v="2"/>
    <x v="1"/>
    <n v="14961.599999999999"/>
    <n v="897.69599999999991"/>
    <x v="243"/>
    <x v="5"/>
    <n v="2023"/>
  </r>
  <r>
    <x v="244"/>
    <s v="23-10-2023"/>
    <s v="Emma"/>
    <x v="0"/>
    <x v="2"/>
    <x v="4"/>
    <n v="5"/>
    <n v="3250.95"/>
    <n v="29"/>
    <x v="3"/>
    <x v="0"/>
    <x v="0"/>
    <n v="16254.75"/>
    <n v="4713.8774999999996"/>
    <x v="244"/>
    <x v="10"/>
    <n v="2023"/>
  </r>
  <r>
    <x v="245"/>
    <s v="09-03-2023"/>
    <s v="Henry"/>
    <x v="4"/>
    <x v="1"/>
    <x v="3"/>
    <n v="10"/>
    <n v="3197.09"/>
    <n v="0"/>
    <x v="1"/>
    <x v="1"/>
    <x v="1"/>
    <n v="31970.9"/>
    <n v="0"/>
    <x v="245"/>
    <x v="1"/>
    <n v="2023"/>
  </r>
  <r>
    <x v="246"/>
    <s v="16-12-2023"/>
    <s v="Charlie"/>
    <x v="0"/>
    <x v="1"/>
    <x v="3"/>
    <n v="10"/>
    <n v="266.39999999999998"/>
    <n v="26"/>
    <x v="3"/>
    <x v="0"/>
    <x v="0"/>
    <n v="2664"/>
    <n v="692.64"/>
    <x v="246"/>
    <x v="8"/>
    <n v="2023"/>
  </r>
  <r>
    <x v="247"/>
    <s v="10-10-2023"/>
    <s v="Henry"/>
    <x v="4"/>
    <x v="2"/>
    <x v="4"/>
    <n v="4"/>
    <n v="3976.92"/>
    <n v="7"/>
    <x v="0"/>
    <x v="0"/>
    <x v="1"/>
    <n v="15907.68"/>
    <n v="1113.5376000000001"/>
    <x v="247"/>
    <x v="10"/>
    <n v="2023"/>
  </r>
  <r>
    <x v="248"/>
    <s v="03-07-2023"/>
    <s v="Bob"/>
    <x v="2"/>
    <x v="0"/>
    <x v="5"/>
    <n v="8"/>
    <n v="249.05"/>
    <n v="17"/>
    <x v="0"/>
    <x v="1"/>
    <x v="1"/>
    <n v="1992.4"/>
    <n v="338.70800000000003"/>
    <x v="248"/>
    <x v="0"/>
    <n v="2023"/>
  </r>
  <r>
    <x v="249"/>
    <s v="08-10-2023"/>
    <s v="Alice"/>
    <x v="0"/>
    <x v="1"/>
    <x v="0"/>
    <n v="8"/>
    <n v="816.29"/>
    <n v="14"/>
    <x v="0"/>
    <x v="0"/>
    <x v="1"/>
    <n v="6530.32"/>
    <n v="914.24479999999994"/>
    <x v="249"/>
    <x v="10"/>
    <n v="2023"/>
  </r>
  <r>
    <x v="250"/>
    <s v="19-11-2023"/>
    <s v="Charlie"/>
    <x v="0"/>
    <x v="2"/>
    <x v="4"/>
    <n v="9"/>
    <n v="2321.5300000000002"/>
    <n v="12"/>
    <x v="0"/>
    <x v="1"/>
    <x v="1"/>
    <n v="20893.77"/>
    <n v="2507.2523999999999"/>
    <x v="250"/>
    <x v="2"/>
    <n v="2023"/>
  </r>
  <r>
    <x v="251"/>
    <s v="29-10-2023"/>
    <s v="Henry"/>
    <x v="2"/>
    <x v="2"/>
    <x v="4"/>
    <n v="3"/>
    <n v="1410.71"/>
    <n v="1"/>
    <x v="1"/>
    <x v="0"/>
    <x v="1"/>
    <n v="4232.13"/>
    <n v="42.321300000000001"/>
    <x v="251"/>
    <x v="10"/>
    <n v="2023"/>
  </r>
  <r>
    <x v="252"/>
    <s v="15-02-2023"/>
    <s v="Charlie"/>
    <x v="1"/>
    <x v="2"/>
    <x v="4"/>
    <n v="10"/>
    <n v="3982.41"/>
    <n v="16"/>
    <x v="1"/>
    <x v="0"/>
    <x v="2"/>
    <n v="39824.1"/>
    <n v="6371.8559999999998"/>
    <x v="252"/>
    <x v="5"/>
    <n v="2023"/>
  </r>
  <r>
    <x v="253"/>
    <s v="04-05-2023"/>
    <s v="Henry"/>
    <x v="0"/>
    <x v="2"/>
    <x v="5"/>
    <n v="8"/>
    <n v="292.67"/>
    <n v="30"/>
    <x v="3"/>
    <x v="0"/>
    <x v="2"/>
    <n v="2341.36"/>
    <n v="702.40800000000002"/>
    <x v="253"/>
    <x v="12"/>
    <n v="2023"/>
  </r>
  <r>
    <x v="254"/>
    <s v="04-02-2023"/>
    <s v="Charlie"/>
    <x v="0"/>
    <x v="0"/>
    <x v="2"/>
    <n v="7"/>
    <n v="2582.8200000000002"/>
    <n v="0"/>
    <x v="3"/>
    <x v="2"/>
    <x v="0"/>
    <n v="18079.740000000002"/>
    <n v="0"/>
    <x v="254"/>
    <x v="5"/>
    <n v="2023"/>
  </r>
  <r>
    <x v="255"/>
    <s v="25-12-2023"/>
    <s v="David"/>
    <x v="1"/>
    <x v="0"/>
    <x v="4"/>
    <n v="2"/>
    <n v="4998.67"/>
    <n v="18"/>
    <x v="2"/>
    <x v="2"/>
    <x v="1"/>
    <n v="9997.34"/>
    <n v="1799.5211999999999"/>
    <x v="255"/>
    <x v="8"/>
    <n v="2023"/>
  </r>
  <r>
    <x v="256"/>
    <s v="06-05-2023"/>
    <s v="Frank"/>
    <x v="2"/>
    <x v="0"/>
    <x v="4"/>
    <n v="2"/>
    <n v="2513.84"/>
    <n v="26"/>
    <x v="0"/>
    <x v="1"/>
    <x v="2"/>
    <n v="5027.68"/>
    <n v="1307.1968000000002"/>
    <x v="256"/>
    <x v="12"/>
    <n v="2023"/>
  </r>
  <r>
    <x v="257"/>
    <s v="24-07-2023"/>
    <s v="Grace"/>
    <x v="3"/>
    <x v="1"/>
    <x v="4"/>
    <n v="4"/>
    <n v="3533.18"/>
    <n v="14"/>
    <x v="1"/>
    <x v="1"/>
    <x v="2"/>
    <n v="14132.72"/>
    <n v="1978.5808"/>
    <x v="257"/>
    <x v="0"/>
    <n v="2023"/>
  </r>
  <r>
    <x v="258"/>
    <s v="18-10-2023"/>
    <s v="Grace"/>
    <x v="1"/>
    <x v="2"/>
    <x v="5"/>
    <n v="2"/>
    <n v="4878.1000000000004"/>
    <n v="14"/>
    <x v="1"/>
    <x v="0"/>
    <x v="2"/>
    <n v="9756.2000000000007"/>
    <n v="1365.8680000000002"/>
    <x v="258"/>
    <x v="10"/>
    <n v="2023"/>
  </r>
  <r>
    <x v="259"/>
    <s v="23-10-2023"/>
    <s v="Frank"/>
    <x v="4"/>
    <x v="1"/>
    <x v="5"/>
    <n v="7"/>
    <n v="4332.5600000000004"/>
    <n v="9"/>
    <x v="3"/>
    <x v="2"/>
    <x v="0"/>
    <n v="30327.920000000002"/>
    <n v="2729.5128000000004"/>
    <x v="259"/>
    <x v="10"/>
    <n v="2023"/>
  </r>
  <r>
    <x v="260"/>
    <s v="29-08-2023"/>
    <s v="Charlie"/>
    <x v="2"/>
    <x v="1"/>
    <x v="1"/>
    <n v="4"/>
    <n v="1164.69"/>
    <n v="15"/>
    <x v="3"/>
    <x v="2"/>
    <x v="2"/>
    <n v="4658.76"/>
    <n v="698.81400000000008"/>
    <x v="260"/>
    <x v="4"/>
    <n v="2023"/>
  </r>
  <r>
    <x v="261"/>
    <s v="23-04-2023"/>
    <s v="Charlie"/>
    <x v="4"/>
    <x v="1"/>
    <x v="5"/>
    <n v="7"/>
    <n v="2192.06"/>
    <n v="30"/>
    <x v="2"/>
    <x v="0"/>
    <x v="0"/>
    <n v="15344.42"/>
    <n v="4603.326"/>
    <x v="261"/>
    <x v="7"/>
    <n v="2023"/>
  </r>
  <r>
    <x v="262"/>
    <s v="01-12-2023"/>
    <s v="Henry"/>
    <x v="4"/>
    <x v="1"/>
    <x v="2"/>
    <n v="1"/>
    <n v="4245.17"/>
    <n v="23"/>
    <x v="3"/>
    <x v="2"/>
    <x v="1"/>
    <n v="4245.17"/>
    <n v="976.38909999999998"/>
    <x v="262"/>
    <x v="8"/>
    <n v="2023"/>
  </r>
  <r>
    <x v="263"/>
    <s v="20-10-2023"/>
    <s v="Henry"/>
    <x v="3"/>
    <x v="0"/>
    <x v="0"/>
    <n v="4"/>
    <n v="3757.07"/>
    <n v="24"/>
    <x v="0"/>
    <x v="1"/>
    <x v="0"/>
    <n v="15028.28"/>
    <n v="3606.7872000000002"/>
    <x v="263"/>
    <x v="10"/>
    <n v="2023"/>
  </r>
  <r>
    <x v="264"/>
    <s v="20-02-2023"/>
    <s v="Alice"/>
    <x v="2"/>
    <x v="0"/>
    <x v="1"/>
    <n v="4"/>
    <n v="554.44000000000005"/>
    <n v="5"/>
    <x v="1"/>
    <x v="1"/>
    <x v="1"/>
    <n v="2217.7600000000002"/>
    <n v="110.88800000000001"/>
    <x v="264"/>
    <x v="5"/>
    <n v="2023"/>
  </r>
  <r>
    <x v="265"/>
    <s v="21-01-2023"/>
    <s v="Charlie"/>
    <x v="0"/>
    <x v="1"/>
    <x v="3"/>
    <n v="6"/>
    <n v="4505.42"/>
    <n v="11"/>
    <x v="3"/>
    <x v="2"/>
    <x v="2"/>
    <n v="27032.52"/>
    <n v="2973.5772000000002"/>
    <x v="265"/>
    <x v="3"/>
    <n v="2023"/>
  </r>
  <r>
    <x v="266"/>
    <s v="14-09-2023"/>
    <s v="Grace"/>
    <x v="1"/>
    <x v="1"/>
    <x v="3"/>
    <n v="4"/>
    <n v="544.33000000000004"/>
    <n v="30"/>
    <x v="0"/>
    <x v="2"/>
    <x v="0"/>
    <n v="2177.3200000000002"/>
    <n v="653.19600000000003"/>
    <x v="266"/>
    <x v="9"/>
    <n v="2023"/>
  </r>
  <r>
    <x v="267"/>
    <s v="09-07-2023"/>
    <s v="Frank"/>
    <x v="0"/>
    <x v="2"/>
    <x v="2"/>
    <n v="2"/>
    <n v="2561.8200000000002"/>
    <n v="21"/>
    <x v="0"/>
    <x v="0"/>
    <x v="2"/>
    <n v="5123.6400000000003"/>
    <n v="1075.9644000000001"/>
    <x v="267"/>
    <x v="0"/>
    <n v="2023"/>
  </r>
  <r>
    <x v="268"/>
    <s v="15-10-2023"/>
    <s v="Henry"/>
    <x v="1"/>
    <x v="1"/>
    <x v="5"/>
    <n v="9"/>
    <n v="2566.11"/>
    <n v="18"/>
    <x v="2"/>
    <x v="0"/>
    <x v="1"/>
    <n v="23094.99"/>
    <n v="4157.0982000000004"/>
    <x v="268"/>
    <x v="10"/>
    <n v="2023"/>
  </r>
  <r>
    <x v="269"/>
    <s v="13-07-2023"/>
    <s v="Henry"/>
    <x v="4"/>
    <x v="1"/>
    <x v="3"/>
    <n v="6"/>
    <n v="3596.62"/>
    <n v="29"/>
    <x v="3"/>
    <x v="0"/>
    <x v="1"/>
    <n v="21579.72"/>
    <n v="6258.1188000000002"/>
    <x v="269"/>
    <x v="0"/>
    <n v="2023"/>
  </r>
  <r>
    <x v="270"/>
    <s v="20-12-2023"/>
    <s v="Grace"/>
    <x v="0"/>
    <x v="2"/>
    <x v="0"/>
    <n v="2"/>
    <n v="568.78"/>
    <n v="30"/>
    <x v="0"/>
    <x v="0"/>
    <x v="1"/>
    <n v="1137.56"/>
    <n v="341.26799999999997"/>
    <x v="270"/>
    <x v="8"/>
    <n v="2023"/>
  </r>
  <r>
    <x v="271"/>
    <s v="11-06-2023"/>
    <s v="Grace"/>
    <x v="1"/>
    <x v="1"/>
    <x v="0"/>
    <n v="2"/>
    <n v="4302.16"/>
    <n v="16"/>
    <x v="2"/>
    <x v="1"/>
    <x v="2"/>
    <n v="8604.32"/>
    <n v="1376.6912"/>
    <x v="271"/>
    <x v="6"/>
    <n v="2023"/>
  </r>
  <r>
    <x v="272"/>
    <s v="14-02-2023"/>
    <s v="Henry"/>
    <x v="1"/>
    <x v="2"/>
    <x v="0"/>
    <n v="8"/>
    <n v="1413.24"/>
    <n v="23"/>
    <x v="2"/>
    <x v="1"/>
    <x v="0"/>
    <n v="11305.92"/>
    <n v="2600.3616000000002"/>
    <x v="272"/>
    <x v="5"/>
    <n v="2023"/>
  </r>
  <r>
    <x v="273"/>
    <s v="06-09-2023"/>
    <s v="Bob"/>
    <x v="3"/>
    <x v="2"/>
    <x v="1"/>
    <n v="1"/>
    <n v="2140.31"/>
    <n v="6"/>
    <x v="2"/>
    <x v="2"/>
    <x v="0"/>
    <n v="2140.31"/>
    <n v="128.4186"/>
    <x v="273"/>
    <x v="9"/>
    <n v="2023"/>
  </r>
  <r>
    <x v="274"/>
    <s v="30-07-2023"/>
    <s v="Grace"/>
    <x v="3"/>
    <x v="1"/>
    <x v="1"/>
    <n v="4"/>
    <n v="2834.72"/>
    <n v="22"/>
    <x v="1"/>
    <x v="0"/>
    <x v="0"/>
    <n v="11338.88"/>
    <n v="2494.5535999999997"/>
    <x v="274"/>
    <x v="0"/>
    <n v="2023"/>
  </r>
  <r>
    <x v="275"/>
    <s v="17-11-2023"/>
    <s v="Charlie"/>
    <x v="4"/>
    <x v="2"/>
    <x v="2"/>
    <n v="7"/>
    <n v="3687.89"/>
    <n v="7"/>
    <x v="0"/>
    <x v="1"/>
    <x v="0"/>
    <n v="25815.23"/>
    <n v="1807.0660999999998"/>
    <x v="275"/>
    <x v="2"/>
    <n v="2023"/>
  </r>
  <r>
    <x v="276"/>
    <s v="26-02-2023"/>
    <s v="Grace"/>
    <x v="1"/>
    <x v="2"/>
    <x v="3"/>
    <n v="2"/>
    <n v="3373.97"/>
    <n v="10"/>
    <x v="1"/>
    <x v="1"/>
    <x v="1"/>
    <n v="6747.94"/>
    <n v="674.79399999999998"/>
    <x v="276"/>
    <x v="5"/>
    <n v="2023"/>
  </r>
  <r>
    <x v="277"/>
    <s v="24-07-2023"/>
    <s v="Grace"/>
    <x v="4"/>
    <x v="0"/>
    <x v="5"/>
    <n v="4"/>
    <n v="1503.95"/>
    <n v="17"/>
    <x v="0"/>
    <x v="0"/>
    <x v="1"/>
    <n v="6015.8"/>
    <n v="1022.686"/>
    <x v="277"/>
    <x v="0"/>
    <n v="2023"/>
  </r>
  <r>
    <x v="278"/>
    <s v="16-08-2023"/>
    <s v="Grace"/>
    <x v="1"/>
    <x v="0"/>
    <x v="3"/>
    <n v="2"/>
    <n v="2561.9"/>
    <n v="14"/>
    <x v="3"/>
    <x v="0"/>
    <x v="2"/>
    <n v="5123.8"/>
    <n v="717.33199999999999"/>
    <x v="278"/>
    <x v="4"/>
    <n v="2023"/>
  </r>
  <r>
    <x v="279"/>
    <s v="31-05-2023"/>
    <s v="Alice"/>
    <x v="1"/>
    <x v="0"/>
    <x v="1"/>
    <n v="6"/>
    <n v="1087.97"/>
    <n v="3"/>
    <x v="0"/>
    <x v="0"/>
    <x v="0"/>
    <n v="6527.82"/>
    <n v="195.83459999999999"/>
    <x v="279"/>
    <x v="12"/>
    <n v="2023"/>
  </r>
  <r>
    <x v="280"/>
    <s v="01-11-2023"/>
    <s v="Frank"/>
    <x v="0"/>
    <x v="0"/>
    <x v="1"/>
    <n v="9"/>
    <n v="3878.7"/>
    <n v="5"/>
    <x v="0"/>
    <x v="2"/>
    <x v="2"/>
    <n v="34908.299999999996"/>
    <n v="1745.4149999999997"/>
    <x v="280"/>
    <x v="2"/>
    <n v="2023"/>
  </r>
  <r>
    <x v="281"/>
    <s v="27-05-2023"/>
    <s v="Emma"/>
    <x v="2"/>
    <x v="1"/>
    <x v="3"/>
    <n v="4"/>
    <n v="1358.79"/>
    <n v="9"/>
    <x v="3"/>
    <x v="1"/>
    <x v="0"/>
    <n v="5435.16"/>
    <n v="489.1644"/>
    <x v="281"/>
    <x v="12"/>
    <n v="2023"/>
  </r>
  <r>
    <x v="282"/>
    <s v="28-05-2023"/>
    <s v="Henry"/>
    <x v="3"/>
    <x v="2"/>
    <x v="2"/>
    <n v="6"/>
    <n v="4209.55"/>
    <n v="11"/>
    <x v="1"/>
    <x v="1"/>
    <x v="1"/>
    <n v="25257.300000000003"/>
    <n v="2778.3030000000003"/>
    <x v="282"/>
    <x v="12"/>
    <n v="2023"/>
  </r>
  <r>
    <x v="283"/>
    <s v="10-06-2023"/>
    <s v="Alice"/>
    <x v="1"/>
    <x v="2"/>
    <x v="5"/>
    <n v="1"/>
    <n v="655.38"/>
    <n v="4"/>
    <x v="0"/>
    <x v="1"/>
    <x v="1"/>
    <n v="655.38"/>
    <n v="26.215199999999999"/>
    <x v="283"/>
    <x v="6"/>
    <n v="2023"/>
  </r>
  <r>
    <x v="284"/>
    <s v="04-03-2023"/>
    <s v="Grace"/>
    <x v="2"/>
    <x v="1"/>
    <x v="5"/>
    <n v="3"/>
    <n v="1345.83"/>
    <n v="30"/>
    <x v="0"/>
    <x v="1"/>
    <x v="0"/>
    <n v="4037.49"/>
    <n v="1211.2470000000001"/>
    <x v="284"/>
    <x v="1"/>
    <n v="2023"/>
  </r>
  <r>
    <x v="285"/>
    <s v="16-09-2023"/>
    <s v="David"/>
    <x v="3"/>
    <x v="1"/>
    <x v="2"/>
    <n v="9"/>
    <n v="2368.6799999999998"/>
    <n v="2"/>
    <x v="3"/>
    <x v="1"/>
    <x v="0"/>
    <n v="21318.12"/>
    <n v="426.36239999999998"/>
    <x v="285"/>
    <x v="9"/>
    <n v="2023"/>
  </r>
  <r>
    <x v="286"/>
    <s v="02-09-2023"/>
    <s v="Bob"/>
    <x v="0"/>
    <x v="1"/>
    <x v="4"/>
    <n v="4"/>
    <n v="1678.89"/>
    <n v="22"/>
    <x v="0"/>
    <x v="2"/>
    <x v="1"/>
    <n v="6715.56"/>
    <n v="1477.4232000000002"/>
    <x v="286"/>
    <x v="9"/>
    <n v="2023"/>
  </r>
  <r>
    <x v="287"/>
    <s v="16-11-2023"/>
    <s v="Bob"/>
    <x v="3"/>
    <x v="1"/>
    <x v="4"/>
    <n v="2"/>
    <n v="788.98"/>
    <n v="16"/>
    <x v="1"/>
    <x v="2"/>
    <x v="0"/>
    <n v="1577.96"/>
    <n v="252.4736"/>
    <x v="287"/>
    <x v="2"/>
    <n v="2023"/>
  </r>
  <r>
    <x v="288"/>
    <s v="12-10-2023"/>
    <s v="David"/>
    <x v="1"/>
    <x v="2"/>
    <x v="4"/>
    <n v="1"/>
    <n v="1347.97"/>
    <n v="27"/>
    <x v="2"/>
    <x v="1"/>
    <x v="1"/>
    <n v="1347.97"/>
    <n v="363.95190000000002"/>
    <x v="288"/>
    <x v="10"/>
    <n v="2023"/>
  </r>
  <r>
    <x v="289"/>
    <s v="23-04-2023"/>
    <s v="Grace"/>
    <x v="0"/>
    <x v="0"/>
    <x v="3"/>
    <n v="8"/>
    <n v="4537.67"/>
    <n v="21"/>
    <x v="1"/>
    <x v="2"/>
    <x v="1"/>
    <n v="36301.360000000001"/>
    <n v="7623.2856000000002"/>
    <x v="289"/>
    <x v="7"/>
    <n v="2023"/>
  </r>
  <r>
    <x v="290"/>
    <s v="29-10-2023"/>
    <s v="Frank"/>
    <x v="4"/>
    <x v="0"/>
    <x v="2"/>
    <n v="3"/>
    <n v="2124.84"/>
    <n v="13"/>
    <x v="0"/>
    <x v="2"/>
    <x v="1"/>
    <n v="6374.52"/>
    <n v="828.68760000000009"/>
    <x v="290"/>
    <x v="10"/>
    <n v="2023"/>
  </r>
  <r>
    <x v="291"/>
    <s v="26-05-2023"/>
    <s v="Charlie"/>
    <x v="4"/>
    <x v="0"/>
    <x v="5"/>
    <n v="4"/>
    <n v="1805.9"/>
    <n v="30"/>
    <x v="2"/>
    <x v="0"/>
    <x v="1"/>
    <n v="7223.6"/>
    <n v="2167.08"/>
    <x v="291"/>
    <x v="12"/>
    <n v="2023"/>
  </r>
  <r>
    <x v="292"/>
    <s v="30-07-2023"/>
    <s v="Alice"/>
    <x v="0"/>
    <x v="0"/>
    <x v="3"/>
    <n v="5"/>
    <n v="4364.6899999999996"/>
    <n v="29"/>
    <x v="2"/>
    <x v="0"/>
    <x v="2"/>
    <n v="21823.449999999997"/>
    <n v="6328.8004999999994"/>
    <x v="292"/>
    <x v="0"/>
    <n v="2023"/>
  </r>
  <r>
    <x v="293"/>
    <s v="13-05-2023"/>
    <s v="Henry"/>
    <x v="0"/>
    <x v="1"/>
    <x v="2"/>
    <n v="8"/>
    <n v="1571.27"/>
    <n v="28"/>
    <x v="2"/>
    <x v="2"/>
    <x v="2"/>
    <n v="12570.16"/>
    <n v="3519.6448"/>
    <x v="293"/>
    <x v="12"/>
    <n v="2023"/>
  </r>
  <r>
    <x v="294"/>
    <s v="06-05-2023"/>
    <s v="Frank"/>
    <x v="4"/>
    <x v="1"/>
    <x v="5"/>
    <n v="8"/>
    <n v="1539.72"/>
    <n v="2"/>
    <x v="0"/>
    <x v="0"/>
    <x v="2"/>
    <n v="12317.76"/>
    <n v="246.3552"/>
    <x v="294"/>
    <x v="12"/>
    <n v="2023"/>
  </r>
  <r>
    <x v="295"/>
    <s v="27-02-2023"/>
    <s v="Grace"/>
    <x v="3"/>
    <x v="1"/>
    <x v="0"/>
    <n v="5"/>
    <n v="1082.46"/>
    <n v="2"/>
    <x v="3"/>
    <x v="2"/>
    <x v="1"/>
    <n v="5412.3"/>
    <n v="108.24600000000001"/>
    <x v="295"/>
    <x v="5"/>
    <n v="2023"/>
  </r>
  <r>
    <x v="296"/>
    <s v="16-08-2023"/>
    <s v="Emma"/>
    <x v="3"/>
    <x v="1"/>
    <x v="5"/>
    <n v="10"/>
    <n v="934.8"/>
    <n v="10"/>
    <x v="1"/>
    <x v="0"/>
    <x v="1"/>
    <n v="9348"/>
    <n v="934.8"/>
    <x v="296"/>
    <x v="4"/>
    <n v="2023"/>
  </r>
  <r>
    <x v="297"/>
    <s v="25-06-2023"/>
    <s v="David"/>
    <x v="4"/>
    <x v="1"/>
    <x v="5"/>
    <n v="3"/>
    <n v="1198.68"/>
    <n v="3"/>
    <x v="0"/>
    <x v="2"/>
    <x v="1"/>
    <n v="3596.04"/>
    <n v="107.88119999999999"/>
    <x v="297"/>
    <x v="6"/>
    <n v="2023"/>
  </r>
  <r>
    <x v="298"/>
    <s v="31-03-2023"/>
    <s v="Grace"/>
    <x v="0"/>
    <x v="0"/>
    <x v="3"/>
    <n v="3"/>
    <n v="3469.97"/>
    <n v="23"/>
    <x v="3"/>
    <x v="1"/>
    <x v="1"/>
    <n v="10409.91"/>
    <n v="2394.2793000000001"/>
    <x v="298"/>
    <x v="1"/>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B79EDE-52E0-4C88-AB31-F2BEFBF0DD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5" firstHeaderRow="1" firstDataRow="1" firstDataCol="1"/>
  <pivotFields count="17">
    <pivotField showAll="0"/>
    <pivotField showAll="0"/>
    <pivotField showAll="0"/>
    <pivotField showAll="0">
      <items count="6">
        <item x="3"/>
        <item x="4"/>
        <item x="1"/>
        <item x="0"/>
        <item x="2"/>
        <item t="default"/>
      </items>
    </pivotField>
    <pivotField axis="axisRow" showAll="0">
      <items count="4">
        <item x="0"/>
        <item h="1" x="1"/>
        <item h="1" x="2"/>
        <item t="default"/>
      </items>
    </pivotField>
    <pivotField showAll="0"/>
    <pivotField showAll="0"/>
    <pivotField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pivotField showAll="0">
      <items count="14">
        <item x="3"/>
        <item x="5"/>
        <item x="1"/>
        <item x="7"/>
        <item x="12"/>
        <item x="6"/>
        <item x="0"/>
        <item x="4"/>
        <item x="9"/>
        <item x="10"/>
        <item x="2"/>
        <item x="8"/>
        <item x="11"/>
        <item t="default"/>
      </items>
    </pivotField>
    <pivotField showAll="0"/>
  </pivotFields>
  <rowFields count="1">
    <field x="4"/>
  </rowFields>
  <rowItems count="2">
    <i>
      <x/>
    </i>
    <i t="grand">
      <x/>
    </i>
  </rowItems>
  <colItems count="1">
    <i/>
  </colItems>
  <dataFields count="1">
    <dataField name="Sum of Final amount" fld="14" baseField="0" baseItem="0"/>
  </dataFields>
  <chartFormats count="3">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5DEA7-3841-4D40-8735-E4A442C4D9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9" firstHeaderRow="1" firstDataRow="1" firstDataCol="1"/>
  <pivotFields count="17">
    <pivotField showAll="0"/>
    <pivotField showAll="0"/>
    <pivotField showAll="0"/>
    <pivotField axis="axisRow" showAll="0">
      <items count="6">
        <item x="3"/>
        <item x="4"/>
        <item x="1"/>
        <item x="0"/>
        <item x="2"/>
        <item t="default"/>
      </items>
    </pivotField>
    <pivotField showAll="0">
      <items count="4">
        <item x="0"/>
        <item h="1" x="1"/>
        <item h="1" x="2"/>
        <item t="default"/>
      </items>
    </pivotField>
    <pivotField showAll="0"/>
    <pivotField showAll="0"/>
    <pivotField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pivotField showAll="0">
      <items count="14">
        <item x="3"/>
        <item x="5"/>
        <item x="1"/>
        <item x="7"/>
        <item x="12"/>
        <item x="6"/>
        <item x="0"/>
        <item x="4"/>
        <item x="9"/>
        <item x="10"/>
        <item x="2"/>
        <item x="8"/>
        <item x="11"/>
        <item t="default"/>
      </items>
    </pivotField>
    <pivotField showAll="0"/>
  </pivotFields>
  <rowFields count="1">
    <field x="3"/>
  </rowFields>
  <rowItems count="6">
    <i>
      <x/>
    </i>
    <i>
      <x v="1"/>
    </i>
    <i>
      <x v="2"/>
    </i>
    <i>
      <x v="3"/>
    </i>
    <i>
      <x v="4"/>
    </i>
    <i t="grand">
      <x/>
    </i>
  </rowItems>
  <colItems count="1">
    <i/>
  </colItems>
  <dataFields count="1">
    <dataField name="Sum of Final amount" fld="14" baseField="0" baseItem="0"/>
  </dataFields>
  <chartFormats count="5">
    <chartFormat chart="16"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1D855-37AC-47F2-8588-2B3797B0F4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8" firstHeaderRow="1" firstDataRow="1" firstDataCol="1"/>
  <pivotFields count="17">
    <pivotField showAll="0"/>
    <pivotField showAll="0"/>
    <pivotField showAll="0"/>
    <pivotField showAll="0">
      <items count="6">
        <item x="3"/>
        <item x="4"/>
        <item x="1"/>
        <item x="0"/>
        <item x="2"/>
        <item t="default"/>
      </items>
    </pivotField>
    <pivotField showAll="0">
      <items count="4">
        <item x="0"/>
        <item h="1" x="1"/>
        <item h="1" x="2"/>
        <item t="default"/>
      </items>
    </pivotField>
    <pivotField showAll="0"/>
    <pivotField showAll="0"/>
    <pivotField showAll="0"/>
    <pivotField showAll="0"/>
    <pivotField axis="axisRow"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pivotField showAll="0">
      <items count="14">
        <item x="3"/>
        <item x="5"/>
        <item x="1"/>
        <item x="7"/>
        <item x="12"/>
        <item x="6"/>
        <item x="0"/>
        <item x="4"/>
        <item x="9"/>
        <item x="10"/>
        <item x="2"/>
        <item x="8"/>
        <item x="11"/>
        <item t="default"/>
      </items>
    </pivotField>
    <pivotField showAll="0"/>
  </pivotFields>
  <rowFields count="1">
    <field x="9"/>
  </rowFields>
  <rowItems count="5">
    <i>
      <x/>
    </i>
    <i>
      <x v="1"/>
    </i>
    <i>
      <x v="2"/>
    </i>
    <i>
      <x v="3"/>
    </i>
    <i t="grand">
      <x/>
    </i>
  </rowItems>
  <colItems count="1">
    <i/>
  </colItems>
  <dataFields count="1">
    <dataField name="Sum of Final amount" fld="14" baseField="0" baseItem="0"/>
  </dataFields>
  <chartFormats count="6">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C17259-BC0B-48AF-A388-D97DB425035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dataField="1" showAll="0"/>
    <pivotField showAll="0"/>
    <pivotField showAll="0"/>
    <pivotField showAll="0">
      <items count="6">
        <item x="3"/>
        <item x="4"/>
        <item x="1"/>
        <item x="0"/>
        <item x="2"/>
        <item t="default"/>
      </items>
    </pivotField>
    <pivotField showAll="0">
      <items count="4">
        <item x="0"/>
        <item h="1" x="1"/>
        <item h="1" x="2"/>
        <item t="default"/>
      </items>
    </pivotField>
    <pivotField showAll="0"/>
    <pivotField showAll="0"/>
    <pivotField showAll="0"/>
    <pivotField showAll="0"/>
    <pivotField showAll="0">
      <items count="5">
        <item x="1"/>
        <item x="0"/>
        <item x="3"/>
        <item x="2"/>
        <item t="default"/>
      </items>
    </pivotField>
    <pivotField axis="axisRow" showAll="0">
      <items count="4">
        <item x="0"/>
        <item x="2"/>
        <item x="1"/>
        <item t="default"/>
      </items>
    </pivotField>
    <pivotField showAll="0">
      <items count="5">
        <item x="2"/>
        <item x="3"/>
        <item x="1"/>
        <item x="0"/>
        <item t="default"/>
      </items>
    </pivotField>
    <pivotField showAll="0"/>
    <pivotField showAll="0"/>
    <pivotField showAll="0"/>
    <pivotField showAll="0">
      <items count="14">
        <item x="3"/>
        <item x="5"/>
        <item x="1"/>
        <item x="7"/>
        <item x="12"/>
        <item x="6"/>
        <item x="0"/>
        <item x="4"/>
        <item x="9"/>
        <item x="10"/>
        <item x="2"/>
        <item x="8"/>
        <item x="11"/>
        <item t="default"/>
      </items>
    </pivotField>
    <pivotField showAll="0"/>
  </pivotFields>
  <rowFields count="1">
    <field x="10"/>
  </rowFields>
  <rowItems count="4">
    <i>
      <x/>
    </i>
    <i>
      <x v="1"/>
    </i>
    <i>
      <x v="2"/>
    </i>
    <i t="grand">
      <x/>
    </i>
  </rowItems>
  <colItems count="1">
    <i/>
  </colItems>
  <dataFields count="1">
    <dataField name="Count of Order_ID" fld="0" subtotal="count" baseField="10" baseItem="0"/>
  </dataFields>
  <chartFormats count="2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0" count="1" selected="0">
            <x v="0"/>
          </reference>
        </references>
      </pivotArea>
    </chartFormat>
    <chartFormat chart="5" format="11">
      <pivotArea type="data" outline="0" fieldPosition="0">
        <references count="2">
          <reference field="4294967294" count="1" selected="0">
            <x v="0"/>
          </reference>
          <reference field="10" count="1" selected="0">
            <x v="1"/>
          </reference>
        </references>
      </pivotArea>
    </chartFormat>
    <chartFormat chart="5" format="12">
      <pivotArea type="data" outline="0" fieldPosition="0">
        <references count="2">
          <reference field="4294967294" count="1" selected="0">
            <x v="0"/>
          </reference>
          <reference field="10"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0" count="1" selected="0">
            <x v="0"/>
          </reference>
        </references>
      </pivotArea>
    </chartFormat>
    <chartFormat chart="6" format="15">
      <pivotArea type="data" outline="0" fieldPosition="0">
        <references count="2">
          <reference field="4294967294" count="1" selected="0">
            <x v="0"/>
          </reference>
          <reference field="10" count="1" selected="0">
            <x v="1"/>
          </reference>
        </references>
      </pivotArea>
    </chartFormat>
    <chartFormat chart="6" format="16">
      <pivotArea type="data" outline="0" fieldPosition="0">
        <references count="2">
          <reference field="4294967294" count="1" selected="0">
            <x v="0"/>
          </reference>
          <reference field="10"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0" count="1" selected="0">
            <x v="0"/>
          </reference>
        </references>
      </pivotArea>
    </chartFormat>
    <chartFormat chart="7" format="15">
      <pivotArea type="data" outline="0" fieldPosition="0">
        <references count="2">
          <reference field="4294967294" count="1" selected="0">
            <x v="0"/>
          </reference>
          <reference field="10" count="1" selected="0">
            <x v="1"/>
          </reference>
        </references>
      </pivotArea>
    </chartFormat>
    <chartFormat chart="7"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61DBD7-50CC-48EB-B990-74E8079588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6" firstHeaderRow="1" firstDataRow="1" firstDataCol="1"/>
  <pivotFields count="17">
    <pivotField showAll="0"/>
    <pivotField showAll="0"/>
    <pivotField showAll="0"/>
    <pivotField showAll="0">
      <items count="6">
        <item x="3"/>
        <item x="4"/>
        <item x="1"/>
        <item x="0"/>
        <item x="2"/>
        <item t="default"/>
      </items>
    </pivotField>
    <pivotField showAll="0">
      <items count="4">
        <item x="0"/>
        <item h="1" x="1"/>
        <item h="1" x="2"/>
        <item t="default"/>
      </items>
    </pivotField>
    <pivotField showAll="0"/>
    <pivotField showAll="0"/>
    <pivotField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showAll="0"/>
    <pivotField showAll="0"/>
    <pivotField dataField="1" showAll="0">
      <items count="300">
        <item x="49"/>
        <item x="201"/>
        <item x="14"/>
        <item x="103"/>
        <item x="283"/>
        <item x="211"/>
        <item x="270"/>
        <item x="190"/>
        <item x="84"/>
        <item x="288"/>
        <item x="59"/>
        <item x="41"/>
        <item x="169"/>
        <item x="107"/>
        <item x="192"/>
        <item x="27"/>
        <item x="287"/>
        <item x="180"/>
        <item x="147"/>
        <item x="266"/>
        <item x="235"/>
        <item x="102"/>
        <item x="253"/>
        <item x="248"/>
        <item x="173"/>
        <item x="51"/>
        <item x="9"/>
        <item x="116"/>
        <item x="74"/>
        <item x="158"/>
        <item x="143"/>
        <item x="46"/>
        <item x="76"/>
        <item x="246"/>
        <item x="45"/>
        <item x="273"/>
        <item x="151"/>
        <item x="167"/>
        <item x="145"/>
        <item x="264"/>
        <item x="141"/>
        <item x="206"/>
        <item x="133"/>
        <item x="213"/>
        <item x="160"/>
        <item x="120"/>
        <item x="11"/>
        <item x="79"/>
        <item x="203"/>
        <item x="77"/>
        <item x="182"/>
        <item x="117"/>
        <item x="136"/>
        <item x="208"/>
        <item x="236"/>
        <item x="42"/>
        <item x="168"/>
        <item x="284"/>
        <item x="153"/>
        <item x="195"/>
        <item x="111"/>
        <item x="162"/>
        <item x="193"/>
        <item x="262"/>
        <item x="115"/>
        <item x="18"/>
        <item x="60"/>
        <item x="297"/>
        <item x="217"/>
        <item x="50"/>
        <item x="256"/>
        <item x="17"/>
        <item x="242"/>
        <item x="225"/>
        <item x="222"/>
        <item x="127"/>
        <item x="260"/>
        <item x="155"/>
        <item x="267"/>
        <item x="96"/>
        <item x="131"/>
        <item x="251"/>
        <item x="205"/>
        <item x="91"/>
        <item x="230"/>
        <item x="178"/>
        <item x="278"/>
        <item x="157"/>
        <item x="218"/>
        <item x="82"/>
        <item x="154"/>
        <item x="281"/>
        <item x="2"/>
        <item x="196"/>
        <item x="277"/>
        <item x="0"/>
        <item x="56"/>
        <item x="291"/>
        <item x="48"/>
        <item x="61"/>
        <item x="286"/>
        <item x="10"/>
        <item x="295"/>
        <item x="4"/>
        <item x="216"/>
        <item x="290"/>
        <item x="249"/>
        <item x="132"/>
        <item x="21"/>
        <item x="3"/>
        <item x="67"/>
        <item x="68"/>
        <item x="73"/>
        <item x="174"/>
        <item x="215"/>
        <item x="142"/>
        <item x="276"/>
        <item x="26"/>
        <item x="81"/>
        <item x="279"/>
        <item x="130"/>
        <item x="128"/>
        <item x="163"/>
        <item x="164"/>
        <item x="43"/>
        <item x="69"/>
        <item x="199"/>
        <item x="221"/>
        <item x="15"/>
        <item x="129"/>
        <item x="172"/>
        <item x="20"/>
        <item x="226"/>
        <item x="271"/>
        <item x="223"/>
        <item x="112"/>
        <item x="62"/>
        <item x="85"/>
        <item x="99"/>
        <item x="166"/>
        <item x="298"/>
        <item x="194"/>
        <item x="109"/>
        <item x="255"/>
        <item x="258"/>
        <item x="296"/>
        <item x="210"/>
        <item x="113"/>
        <item x="209"/>
        <item x="39"/>
        <item x="207"/>
        <item x="137"/>
        <item x="7"/>
        <item x="272"/>
        <item x="274"/>
        <item x="33"/>
        <item x="293"/>
        <item x="138"/>
        <item x="28"/>
        <item x="114"/>
        <item x="66"/>
        <item x="12"/>
        <item x="124"/>
        <item x="101"/>
        <item x="146"/>
        <item x="181"/>
        <item x="240"/>
        <item x="189"/>
        <item x="261"/>
        <item x="29"/>
        <item x="92"/>
        <item x="36"/>
        <item x="191"/>
        <item x="30"/>
        <item x="263"/>
        <item x="244"/>
        <item x="237"/>
        <item x="95"/>
        <item x="165"/>
        <item x="72"/>
        <item x="198"/>
        <item x="22"/>
        <item x="197"/>
        <item x="63"/>
        <item x="294"/>
        <item x="257"/>
        <item x="170"/>
        <item x="185"/>
        <item x="100"/>
        <item x="37"/>
        <item x="121"/>
        <item x="55"/>
        <item x="150"/>
        <item x="152"/>
        <item x="31"/>
        <item x="239"/>
        <item x="232"/>
        <item x="243"/>
        <item x="140"/>
        <item x="119"/>
        <item x="231"/>
        <item x="104"/>
        <item x="71"/>
        <item x="247"/>
        <item x="40"/>
        <item x="5"/>
        <item x="97"/>
        <item x="269"/>
        <item x="183"/>
        <item x="52"/>
        <item x="292"/>
        <item x="228"/>
        <item x="90"/>
        <item x="233"/>
        <item x="93"/>
        <item x="159"/>
        <item x="184"/>
        <item x="149"/>
        <item x="35"/>
        <item x="179"/>
        <item x="47"/>
        <item x="16"/>
        <item x="212"/>
        <item x="118"/>
        <item x="254"/>
        <item x="122"/>
        <item x="250"/>
        <item x="80"/>
        <item x="125"/>
        <item x="268"/>
        <item x="65"/>
        <item x="32"/>
        <item x="106"/>
        <item x="234"/>
        <item x="8"/>
        <item x="187"/>
        <item x="161"/>
        <item x="171"/>
        <item x="64"/>
        <item x="88"/>
        <item x="94"/>
        <item x="176"/>
        <item x="285"/>
        <item x="177"/>
        <item x="188"/>
        <item x="13"/>
        <item x="105"/>
        <item x="86"/>
        <item x="202"/>
        <item x="148"/>
        <item x="282"/>
        <item x="89"/>
        <item x="98"/>
        <item x="200"/>
        <item x="135"/>
        <item x="126"/>
        <item x="275"/>
        <item x="265"/>
        <item x="108"/>
        <item x="53"/>
        <item x="238"/>
        <item x="23"/>
        <item x="220"/>
        <item x="110"/>
        <item x="175"/>
        <item x="54"/>
        <item x="229"/>
        <item x="25"/>
        <item x="78"/>
        <item x="70"/>
        <item x="259"/>
        <item x="186"/>
        <item x="19"/>
        <item x="289"/>
        <item x="241"/>
        <item x="224"/>
        <item x="214"/>
        <item x="1"/>
        <item x="204"/>
        <item x="83"/>
        <item x="134"/>
        <item x="227"/>
        <item x="58"/>
        <item x="57"/>
        <item x="245"/>
        <item x="280"/>
        <item x="252"/>
        <item x="44"/>
        <item x="38"/>
        <item x="139"/>
        <item x="34"/>
        <item x="6"/>
        <item x="24"/>
        <item x="156"/>
        <item x="144"/>
        <item x="75"/>
        <item x="123"/>
        <item x="219"/>
        <item x="87"/>
        <item t="default"/>
      </items>
    </pivotField>
    <pivotField axis="axisRow" showAll="0">
      <items count="14">
        <item x="3"/>
        <item x="5"/>
        <item x="1"/>
        <item x="7"/>
        <item x="12"/>
        <item x="6"/>
        <item x="0"/>
        <item x="4"/>
        <item x="9"/>
        <item x="10"/>
        <item x="2"/>
        <item x="8"/>
        <item x="11"/>
        <item t="default"/>
      </items>
    </pivotField>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Final amount" fld="14" baseField="0" baseItem="0"/>
  </dataFields>
  <chartFormats count="5">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301FC9-FAA5-49DA-9AD4-F8F5E24341C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5" firstHeaderRow="0" firstDataRow="1" firstDataCol="1"/>
  <pivotFields count="17">
    <pivotField showAll="0"/>
    <pivotField showAll="0"/>
    <pivotField showAll="0"/>
    <pivotField showAll="0">
      <items count="6">
        <item x="3"/>
        <item x="4"/>
        <item x="1"/>
        <item x="0"/>
        <item x="2"/>
        <item t="default"/>
      </items>
    </pivotField>
    <pivotField axis="axisRow" showAll="0">
      <items count="4">
        <item x="0"/>
        <item h="1" x="1"/>
        <item h="1" x="2"/>
        <item t="default"/>
      </items>
    </pivotField>
    <pivotField showAll="0"/>
    <pivotField dataField="1" showAll="0"/>
    <pivotField dataField="1" showAll="0"/>
    <pivotField showAll="0"/>
    <pivotField showAll="0">
      <items count="5">
        <item x="1"/>
        <item x="0"/>
        <item x="3"/>
        <item x="2"/>
        <item t="default"/>
      </items>
    </pivotField>
    <pivotField showAll="0">
      <items count="4">
        <item x="0"/>
        <item x="2"/>
        <item x="1"/>
        <item t="default"/>
      </items>
    </pivotField>
    <pivotField showAll="0">
      <items count="5">
        <item x="2"/>
        <item x="3"/>
        <item x="1"/>
        <item x="0"/>
        <item t="default"/>
      </items>
    </pivotField>
    <pivotField dataField="1" showAll="0"/>
    <pivotField dataField="1" showAll="0"/>
    <pivotField dataField="1" showAll="0"/>
    <pivotField showAll="0">
      <items count="14">
        <item x="3"/>
        <item x="5"/>
        <item x="1"/>
        <item x="7"/>
        <item x="12"/>
        <item x="6"/>
        <item x="0"/>
        <item x="4"/>
        <item x="9"/>
        <item x="10"/>
        <item x="2"/>
        <item x="8"/>
        <item x="11"/>
        <item t="default"/>
      </items>
    </pivotField>
    <pivotField showAll="0"/>
  </pivotFields>
  <rowFields count="1">
    <field x="4"/>
  </rowFields>
  <rowItems count="2">
    <i>
      <x/>
    </i>
    <i t="grand">
      <x/>
    </i>
  </rowItems>
  <colFields count="1">
    <field x="-2"/>
  </colFields>
  <colItems count="5">
    <i>
      <x/>
    </i>
    <i i="1">
      <x v="1"/>
    </i>
    <i i="2">
      <x v="2"/>
    </i>
    <i i="3">
      <x v="3"/>
    </i>
    <i i="4">
      <x v="4"/>
    </i>
  </colItems>
  <dataFields count="5">
    <dataField name="Sum of Quantity" fld="6" baseField="0" baseItem="0"/>
    <dataField name="Sum of Sales amount" fld="12" baseField="0" baseItem="0"/>
    <dataField name="Sum of Discount amount" fld="13" baseField="4" baseItem="0"/>
    <dataField name="Sum of Final amount" fld="14" baseField="0" baseItem="0"/>
    <dataField name="Average of Unit_Price" fld="7" subtotal="average" baseField="4" baseItem="0"/>
  </dataFields>
  <formats count="1">
    <format dxfId="5">
      <pivotArea collapsedLevelsAreSubtotals="1" fieldPosition="0">
        <references count="2">
          <reference field="4294967294" count="1" selected="0">
            <x v="4"/>
          </reference>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F2A6CF-57A0-40C4-B1A2-34D1EF23A1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showAll="0"/>
    <pivotField showAll="0">
      <items count="7">
        <item x="4"/>
        <item x="3"/>
        <item x="1"/>
        <item x="0"/>
        <item x="5"/>
        <item x="2"/>
        <item t="default"/>
      </items>
    </pivotField>
    <pivotField showAll="0"/>
    <pivotField showAll="0"/>
    <pivotField showAll="0"/>
    <pivotField showAll="0"/>
    <pivotField showAll="0"/>
    <pivotField showAll="0"/>
    <pivotField showAll="0"/>
    <pivotField showAll="0"/>
    <pivotField showAll="0"/>
    <pivotField showAll="0">
      <items count="14">
        <item x="3"/>
        <item x="5"/>
        <item x="1"/>
        <item x="7"/>
        <item x="12"/>
        <item x="6"/>
        <item x="0"/>
        <item x="4"/>
        <item x="9"/>
        <item x="10"/>
        <item x="2"/>
        <item x="8"/>
        <item x="11"/>
        <item t="default"/>
      </items>
    </pivotField>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502261-DB8D-4013-941E-A6153FA150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4">
        <item x="3"/>
        <item x="5"/>
        <item x="1"/>
        <item x="7"/>
        <item x="12"/>
        <item x="6"/>
        <item x="0"/>
        <item x="4"/>
        <item x="9"/>
        <item x="10"/>
        <item x="2"/>
        <item x="8"/>
        <item x="11"/>
        <item t="default"/>
      </items>
    </pivotField>
    <pivotField showAll="0"/>
  </pivotFields>
  <rowItems count="1">
    <i/>
  </rowItems>
  <colItems count="1">
    <i/>
  </colItems>
  <dataFields count="1">
    <dataField name="Average of Unit_Pric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A215809-6539-4C61-9350-5FF54FEF65A2}" sourceName="City">
  <pivotTables>
    <pivotTable tabId="4" name="PivotTable2"/>
    <pivotTable tabId="5" name="PivotTable3"/>
    <pivotTable tabId="8" name="PivotTable6"/>
    <pivotTable tabId="7" name="PivotTable5"/>
    <pivotTable tabId="6" name="PivotTable4"/>
    <pivotTable tabId="10" name="PivotTable7"/>
  </pivotTables>
  <data>
    <tabular pivotCacheId="1471954842">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437AA9-1DCA-4FD6-B82B-1EC48C395B52}" sourceName="Category">
  <pivotTables>
    <pivotTable tabId="4" name="PivotTable2"/>
    <pivotTable tabId="5" name="PivotTable3"/>
    <pivotTable tabId="8" name="PivotTable6"/>
    <pivotTable tabId="7" name="PivotTable5"/>
    <pivotTable tabId="6" name="PivotTable4"/>
    <pivotTable tabId="10" name="PivotTable7"/>
  </pivotTables>
  <data>
    <tabular pivotCacheId="1471954842">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9BC6832-36FB-4D5F-BF75-4A267519AE14}" sourceName="Salesperson">
  <pivotTables>
    <pivotTable tabId="4" name="PivotTable2"/>
    <pivotTable tabId="5" name="PivotTable3"/>
    <pivotTable tabId="8" name="PivotTable6"/>
    <pivotTable tabId="7" name="PivotTable5"/>
    <pivotTable tabId="6" name="PivotTable4"/>
    <pivotTable tabId="10" name="PivotTable7"/>
  </pivotTables>
  <data>
    <tabular pivotCacheId="1471954842">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4D3F0BE-35D9-469E-B0F6-06A95ACCBA59}" sourceName="Payment_Mode">
  <pivotTables>
    <pivotTable tabId="4" name="PivotTable2"/>
    <pivotTable tabId="5" name="PivotTable3"/>
    <pivotTable tabId="8" name="PivotTable6"/>
    <pivotTable tabId="7" name="PivotTable5"/>
    <pivotTable tabId="6" name="PivotTable4"/>
    <pivotTable tabId="10" name="PivotTable7"/>
  </pivotTables>
  <data>
    <tabular pivotCacheId="147195484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38EF2A5-ADF6-40E6-BC01-C3307E5B2AD0}" sourceName="Order_Status">
  <pivotTables>
    <pivotTable tabId="4" name="PivotTable2"/>
    <pivotTable tabId="5" name="PivotTable3"/>
    <pivotTable tabId="8" name="PivotTable6"/>
    <pivotTable tabId="7" name="PivotTable5"/>
    <pivotTable tabId="6" name="PivotTable4"/>
    <pivotTable tabId="10" name="PivotTable7"/>
  </pivotTables>
  <data>
    <tabular pivotCacheId="1471954842">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08D90D-D6C2-44C1-9A68-761F980F14C1}" sourceName="month">
  <pivotTables>
    <pivotTable tabId="8" name="PivotTable6"/>
    <pivotTable tabId="4" name="PivotTable2"/>
    <pivotTable tabId="5" name="PivotTable3"/>
    <pivotTable tabId="7" name="PivotTable5"/>
    <pivotTable tabId="6" name="PivotTable4"/>
    <pivotTable tabId="12" name="PivotTable1"/>
    <pivotTable tabId="13" name="PivotTable2"/>
    <pivotTable tabId="10" name="PivotTable7"/>
  </pivotTables>
  <data>
    <tabular pivotCacheId="1471954842">
      <items count="13">
        <i x="3" s="1"/>
        <i x="5" s="1"/>
        <i x="1" s="1"/>
        <i x="7" s="1"/>
        <i x="12" s="1"/>
        <i x="6" s="1"/>
        <i x="0" s="1"/>
        <i x="4" s="1"/>
        <i x="9" s="1"/>
        <i x="10" s="1"/>
        <i x="2" s="1"/>
        <i x="8"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B1EA792-FD12-4B51-B283-C1383F454E42}" cache="Slicer_City" caption="City" rowHeight="234950"/>
  <slicer name="Category" xr10:uid="{D046E2B7-06FB-47FC-A21E-E7B981F91445}" cache="Slicer_Category" caption="Category" rowHeight="234950"/>
  <slicer name="Salesperson" xr10:uid="{A57B2EB6-0578-490C-9C9A-B36842E1EA37}" cache="Slicer_Salesperson" caption="Salesperson" rowHeight="234950"/>
  <slicer name="Payment_Mode" xr10:uid="{D365CF9B-3508-4110-A6B4-F52C5ECD2E9F}" cache="Slicer_Payment_Mode" caption="Payment_Mode" rowHeight="234950"/>
  <slicer name="Order_Status" xr10:uid="{E3923D2E-C65A-4715-AD77-97CBC11F2700}" cache="Slicer_Order_Status" caption="Order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B365241-D723-45CD-9655-567C4B7C237D}" cache="Slicer_month" caption="month" columnCount="3"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FFD0363-0651-47D4-B258-D09895A0239E}" cache="Slicer_Category" caption="Category" rowHeight="234950"/>
  <slicer name="Order_Status 2" xr10:uid="{50352676-AD37-4285-BA82-D6C702C53D57}" cache="Slicer_Order_Status" caption="Order_Status" rowHeight="234950"/>
  <slicer name="month 1" xr10:uid="{AE8956BF-E039-4A26-8EB6-5153CB2F6122}" cache="Slicer_month" caption="month" columnCount="3" rowHeight="21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A95DCE3-385D-4710-8AD2-15BDFEF89E87}" cache="Slicer_City" caption="City" rowHeight="234950"/>
  <slicer name="Category 1" xr10:uid="{15B8404C-9549-49B9-82AE-C52B00D7CB18}" cache="Slicer_Category" caption="Category" rowHeight="234950"/>
  <slicer name="Salesperson 1" xr10:uid="{49C32F4D-C0CF-4AD6-957E-CD11495EE8F4}" cache="Slicer_Salesperson" caption="Salesperson" rowHeight="234950"/>
  <slicer name="Payment_Mode 1" xr10:uid="{594FE048-5BDB-4737-BC0C-ADA1AC13A4B1}" cache="Slicer_Payment_Mode" caption="Payment_Mode" rowHeight="234950"/>
  <slicer name="Order_Status 1" xr10:uid="{BA682CA5-2291-417A-89D7-27F4F72F4D03}" cache="Slicer_Order_Status" caption="Order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7BC98-4928-45CE-A172-0857F322A5D2}" name="Table1" displayName="Table1" ref="A1:Q301" totalsRowShown="0">
  <autoFilter ref="A1:Q301" xr:uid="{0657BC98-4928-45CE-A172-0857F322A5D2}"/>
  <tableColumns count="17">
    <tableColumn id="1" xr3:uid="{4A33F51C-D962-43E6-B69B-62936098CA81}" name="Order_ID"/>
    <tableColumn id="2" xr3:uid="{FEC13132-6C5E-4D76-9E27-0E89130A0F05}" name="Order_Date"/>
    <tableColumn id="3" xr3:uid="{E60F7AE0-A452-4B51-9194-B041AB100AB2}" name="Customer"/>
    <tableColumn id="4" xr3:uid="{D1392674-2696-44AE-9055-6C491F6C6666}" name="City"/>
    <tableColumn id="5" xr3:uid="{36B69D7D-D436-4E5D-AF2F-7FA6314904BA}" name="Category"/>
    <tableColumn id="6" xr3:uid="{6C1DD941-C97B-40D1-82C8-A228570E22E4}" name="Product"/>
    <tableColumn id="7" xr3:uid="{77067344-730A-49DB-9F41-8D8B45E85F2B}" name="Quantity"/>
    <tableColumn id="8" xr3:uid="{144C36B5-D4CC-4F49-BF03-1FB193F3732C}" name="Unit_Price"/>
    <tableColumn id="9" xr3:uid="{858B954A-9C79-4405-811A-AA848EB77C78}" name="Discount"/>
    <tableColumn id="10" xr3:uid="{16BBBCAE-CA69-4062-A812-ABB0C999CBA1}" name="Salesperson"/>
    <tableColumn id="11" xr3:uid="{52CE3169-9F97-4555-B961-85ECDB938F31}" name="Payment_Mode"/>
    <tableColumn id="12" xr3:uid="{7DACE5C4-5C5A-4535-A239-69A2C066C609}" name="Order_Status"/>
    <tableColumn id="13" xr3:uid="{681E2E18-FA29-4354-A5BB-760D7E1693C5}" name="Sales amount" dataDxfId="4">
      <calculatedColumnFormula>Table1[[#This Row],[Quantity]]*Table1[[#This Row],[Unit_Price]]</calculatedColumnFormula>
    </tableColumn>
    <tableColumn id="14" xr3:uid="{EFBEE0DB-0C19-478D-99E8-CC92BBF50224}" name="Discount amount" dataDxfId="3">
      <calculatedColumnFormula>Table1[[#This Row],[Sales amount]]*Table1[[#This Row],[Discount]]/100</calculatedColumnFormula>
    </tableColumn>
    <tableColumn id="15" xr3:uid="{4600FE53-79CD-4CE0-8153-8FF3028B5E45}" name="Final amount" dataDxfId="2">
      <calculatedColumnFormula>Table1[[#This Row],[Sales amount]]-Table1[[#This Row],[Discount amount]]</calculatedColumnFormula>
    </tableColumn>
    <tableColumn id="16" xr3:uid="{A413665B-EF64-4B97-A8ED-EB7719E607CB}" name="month" dataDxfId="1">
      <calculatedColumnFormula>TEXT(Table1[[#This Row],[Order_Date]],"mmm")</calculatedColumnFormula>
    </tableColumn>
    <tableColumn id="17" xr3:uid="{8D1DBA8E-465E-408C-A7CC-7AF908D2D73A}" name="year" dataDxfId="0">
      <calculatedColumnFormula>YEAR(Table1[[#This Row],[Order_Date]])</calculatedColumnFormula>
    </tableColumn>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564A-7093-48A5-B34D-6751AE1888AF}">
  <dimension ref="A3:B5"/>
  <sheetViews>
    <sheetView zoomScale="92" zoomScaleNormal="62" workbookViewId="0">
      <selection activeCell="Y11" sqref="Y11"/>
    </sheetView>
  </sheetViews>
  <sheetFormatPr defaultRowHeight="14.4" x14ac:dyDescent="0.3"/>
  <cols>
    <col min="1" max="1" width="13.109375" bestFit="1" customWidth="1"/>
    <col min="2" max="2" width="18.77734375" bestFit="1" customWidth="1"/>
  </cols>
  <sheetData>
    <row r="3" spans="1:2" x14ac:dyDescent="0.3">
      <c r="A3" s="2" t="s">
        <v>250</v>
      </c>
      <c r="B3" t="s">
        <v>257</v>
      </c>
    </row>
    <row r="4" spans="1:2" x14ac:dyDescent="0.3">
      <c r="A4" s="3" t="s">
        <v>15</v>
      </c>
      <c r="B4" s="5">
        <v>1370172.5609999998</v>
      </c>
    </row>
    <row r="5" spans="1:2" x14ac:dyDescent="0.3">
      <c r="A5" s="3" t="s">
        <v>251</v>
      </c>
      <c r="B5" s="5">
        <v>1370172.5609999998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7DB4A-2587-446B-8BF7-5A675A38DD79}">
  <dimension ref="A3:I23"/>
  <sheetViews>
    <sheetView zoomScale="94" workbookViewId="0">
      <selection activeCell="U11" sqref="U11"/>
    </sheetView>
  </sheetViews>
  <sheetFormatPr defaultRowHeight="14.4" x14ac:dyDescent="0.3"/>
  <cols>
    <col min="1" max="1" width="12.88671875" bestFit="1" customWidth="1"/>
    <col min="2" max="2" width="18.6640625" bestFit="1" customWidth="1"/>
  </cols>
  <sheetData>
    <row r="3" spans="1:2" x14ac:dyDescent="0.3">
      <c r="A3" s="2" t="s">
        <v>250</v>
      </c>
      <c r="B3" t="s">
        <v>257</v>
      </c>
    </row>
    <row r="4" spans="1:2" x14ac:dyDescent="0.3">
      <c r="A4" s="3" t="s">
        <v>43</v>
      </c>
      <c r="B4" s="5">
        <v>298195.27509999997</v>
      </c>
    </row>
    <row r="5" spans="1:2" x14ac:dyDescent="0.3">
      <c r="A5" s="3" t="s">
        <v>47</v>
      </c>
      <c r="B5" s="5">
        <v>182152.68969999999</v>
      </c>
    </row>
    <row r="6" spans="1:2" x14ac:dyDescent="0.3">
      <c r="A6" s="3" t="s">
        <v>22</v>
      </c>
      <c r="B6" s="5">
        <v>363695.2782</v>
      </c>
    </row>
    <row r="7" spans="1:2" x14ac:dyDescent="0.3">
      <c r="A7" s="3" t="s">
        <v>14</v>
      </c>
      <c r="B7" s="5">
        <v>331993.41810000001</v>
      </c>
    </row>
    <row r="8" spans="1:2" x14ac:dyDescent="0.3">
      <c r="A8" s="3" t="s">
        <v>33</v>
      </c>
      <c r="B8" s="5">
        <v>194135.89989999999</v>
      </c>
    </row>
    <row r="9" spans="1:2" x14ac:dyDescent="0.3">
      <c r="A9" s="3" t="s">
        <v>251</v>
      </c>
      <c r="B9" s="5">
        <v>1370172.5610000002</v>
      </c>
    </row>
    <row r="23" spans="9:9" x14ac:dyDescent="0.3">
      <c r="I23">
        <f>GETPIVOTDATA("Final amount",$A$3)</f>
        <v>1370172.5610000002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2D95D-193D-4AE6-8895-E6E110F11FE8}">
  <dimension ref="A3:B8"/>
  <sheetViews>
    <sheetView workbookViewId="0">
      <selection activeCell="G21" sqref="G21"/>
    </sheetView>
  </sheetViews>
  <sheetFormatPr defaultRowHeight="14.4" x14ac:dyDescent="0.3"/>
  <cols>
    <col min="1" max="1" width="12.5546875" bestFit="1" customWidth="1"/>
    <col min="2" max="2" width="18.6640625" bestFit="1" customWidth="1"/>
  </cols>
  <sheetData>
    <row r="3" spans="1:2" x14ac:dyDescent="0.3">
      <c r="A3" s="2" t="s">
        <v>250</v>
      </c>
      <c r="B3" t="s">
        <v>257</v>
      </c>
    </row>
    <row r="4" spans="1:2" x14ac:dyDescent="0.3">
      <c r="A4" s="3" t="s">
        <v>24</v>
      </c>
      <c r="B4" s="5">
        <v>529101.71129999997</v>
      </c>
    </row>
    <row r="5" spans="1:2" x14ac:dyDescent="0.3">
      <c r="A5" s="3" t="s">
        <v>17</v>
      </c>
      <c r="B5" s="5">
        <v>299866.3652</v>
      </c>
    </row>
    <row r="6" spans="1:2" x14ac:dyDescent="0.3">
      <c r="A6" s="3" t="s">
        <v>39</v>
      </c>
      <c r="B6" s="5">
        <v>287107.92590000003</v>
      </c>
    </row>
    <row r="7" spans="1:2" x14ac:dyDescent="0.3">
      <c r="A7" s="3" t="s">
        <v>28</v>
      </c>
      <c r="B7" s="5">
        <v>254096.55859999999</v>
      </c>
    </row>
    <row r="8" spans="1:2" x14ac:dyDescent="0.3">
      <c r="A8" s="3" t="s">
        <v>251</v>
      </c>
      <c r="B8" s="5">
        <v>1370172.5610000002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6C2C0-2EA5-4986-9A64-B8F270B0C6BB}">
  <dimension ref="A3:B7"/>
  <sheetViews>
    <sheetView workbookViewId="0">
      <selection activeCell="R20" sqref="R20"/>
    </sheetView>
  </sheetViews>
  <sheetFormatPr defaultRowHeight="14.4" x14ac:dyDescent="0.3"/>
  <cols>
    <col min="1" max="1" width="12.5546875" bestFit="1" customWidth="1"/>
    <col min="2" max="2" width="16.44140625" bestFit="1" customWidth="1"/>
  </cols>
  <sheetData>
    <row r="3" spans="1:2" x14ac:dyDescent="0.3">
      <c r="A3" s="2" t="s">
        <v>250</v>
      </c>
      <c r="B3" t="s">
        <v>258</v>
      </c>
    </row>
    <row r="4" spans="1:2" x14ac:dyDescent="0.3">
      <c r="A4" s="3" t="s">
        <v>18</v>
      </c>
      <c r="B4" s="5">
        <v>32</v>
      </c>
    </row>
    <row r="5" spans="1:2" x14ac:dyDescent="0.3">
      <c r="A5" s="3" t="s">
        <v>40</v>
      </c>
      <c r="B5" s="5">
        <v>38</v>
      </c>
    </row>
    <row r="6" spans="1:2" x14ac:dyDescent="0.3">
      <c r="A6" s="3" t="s">
        <v>29</v>
      </c>
      <c r="B6" s="5">
        <v>31</v>
      </c>
    </row>
    <row r="7" spans="1:2" x14ac:dyDescent="0.3">
      <c r="A7" s="3" t="s">
        <v>251</v>
      </c>
      <c r="B7" s="5">
        <v>101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8E04-CAD2-4440-BD81-026B2026BA7E}">
  <dimension ref="A3:B16"/>
  <sheetViews>
    <sheetView workbookViewId="0">
      <selection activeCell="P10" sqref="P10"/>
    </sheetView>
  </sheetViews>
  <sheetFormatPr defaultRowHeight="14.4" x14ac:dyDescent="0.3"/>
  <cols>
    <col min="1" max="1" width="12.5546875" bestFit="1" customWidth="1"/>
    <col min="2" max="2" width="18.6640625" bestFit="1" customWidth="1"/>
  </cols>
  <sheetData>
    <row r="3" spans="1:2" x14ac:dyDescent="0.3">
      <c r="A3" s="2" t="s">
        <v>250</v>
      </c>
      <c r="B3" t="s">
        <v>257</v>
      </c>
    </row>
    <row r="4" spans="1:2" x14ac:dyDescent="0.3">
      <c r="A4" s="3" t="s">
        <v>264</v>
      </c>
      <c r="B4" s="5">
        <v>143559.26989999998</v>
      </c>
    </row>
    <row r="5" spans="1:2" x14ac:dyDescent="0.3">
      <c r="A5" s="3" t="s">
        <v>265</v>
      </c>
      <c r="B5" s="5">
        <v>98960.850999999995</v>
      </c>
    </row>
    <row r="6" spans="1:2" x14ac:dyDescent="0.3">
      <c r="A6" s="3" t="s">
        <v>266</v>
      </c>
      <c r="B6" s="5">
        <v>124341.6649</v>
      </c>
    </row>
    <row r="7" spans="1:2" x14ac:dyDescent="0.3">
      <c r="A7" s="3" t="s">
        <v>267</v>
      </c>
      <c r="B7" s="5">
        <v>103411.91089999997</v>
      </c>
    </row>
    <row r="8" spans="1:2" x14ac:dyDescent="0.3">
      <c r="A8" s="3" t="s">
        <v>259</v>
      </c>
      <c r="B8" s="5">
        <v>41801.920599999998</v>
      </c>
    </row>
    <row r="9" spans="1:2" x14ac:dyDescent="0.3">
      <c r="A9" s="3" t="s">
        <v>268</v>
      </c>
      <c r="B9" s="5">
        <v>114321.06700000001</v>
      </c>
    </row>
    <row r="10" spans="1:2" x14ac:dyDescent="0.3">
      <c r="A10" s="3" t="s">
        <v>269</v>
      </c>
      <c r="B10" s="5">
        <v>99200.429199999999</v>
      </c>
    </row>
    <row r="11" spans="1:2" x14ac:dyDescent="0.3">
      <c r="A11" s="3" t="s">
        <v>270</v>
      </c>
      <c r="B11" s="5">
        <v>139640.09300000002</v>
      </c>
    </row>
    <row r="12" spans="1:2" x14ac:dyDescent="0.3">
      <c r="A12" s="3" t="s">
        <v>271</v>
      </c>
      <c r="B12" s="5">
        <v>112833.3006</v>
      </c>
    </row>
    <row r="13" spans="1:2" x14ac:dyDescent="0.3">
      <c r="A13" s="3" t="s">
        <v>272</v>
      </c>
      <c r="B13" s="5">
        <v>121894.23930000002</v>
      </c>
    </row>
    <row r="14" spans="1:2" x14ac:dyDescent="0.3">
      <c r="A14" s="3" t="s">
        <v>273</v>
      </c>
      <c r="B14" s="5">
        <v>125688.55439999999</v>
      </c>
    </row>
    <row r="15" spans="1:2" x14ac:dyDescent="0.3">
      <c r="A15" s="3" t="s">
        <v>274</v>
      </c>
      <c r="B15" s="5">
        <v>144519.26020000002</v>
      </c>
    </row>
    <row r="16" spans="1:2" x14ac:dyDescent="0.3">
      <c r="A16" s="3" t="s">
        <v>251</v>
      </c>
      <c r="B16" s="5">
        <v>1370172.5610000002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83FB-A6DC-4261-8DF4-88CCF02B0063}">
  <dimension ref="A1"/>
  <sheetViews>
    <sheetView zoomScale="85" zoomScaleNormal="181" workbookViewId="0">
      <selection activeCell="X11" sqref="X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7D2E-6F13-4CCD-A669-4F3A9E691B31}">
  <dimension ref="A1"/>
  <sheetViews>
    <sheetView topLeftCell="A18" zoomScale="62" workbookViewId="0">
      <selection activeCell="M55" sqref="M55:M7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01D6-6B1D-405D-9F39-DF338EB3AD73}">
  <dimension ref="A3:F11"/>
  <sheetViews>
    <sheetView workbookViewId="0">
      <selection activeCell="D12" sqref="D12"/>
    </sheetView>
  </sheetViews>
  <sheetFormatPr defaultRowHeight="14.4" x14ac:dyDescent="0.3"/>
  <cols>
    <col min="1" max="1" width="12.5546875" bestFit="1" customWidth="1"/>
    <col min="2" max="2" width="14.88671875" bestFit="1" customWidth="1"/>
    <col min="3" max="3" width="19" bestFit="1" customWidth="1"/>
    <col min="4" max="4" width="22.21875" bestFit="1" customWidth="1"/>
    <col min="5" max="5" width="18.6640625" bestFit="1" customWidth="1"/>
    <col min="6" max="6" width="19.44140625" bestFit="1" customWidth="1"/>
  </cols>
  <sheetData>
    <row r="3" spans="1:6" x14ac:dyDescent="0.3">
      <c r="A3" s="2" t="s">
        <v>250</v>
      </c>
      <c r="B3" t="s">
        <v>260</v>
      </c>
      <c r="C3" t="s">
        <v>261</v>
      </c>
      <c r="D3" t="s">
        <v>262</v>
      </c>
      <c r="E3" t="s">
        <v>257</v>
      </c>
      <c r="F3" t="s">
        <v>263</v>
      </c>
    </row>
    <row r="4" spans="1:6" x14ac:dyDescent="0.3">
      <c r="A4" s="3" t="s">
        <v>15</v>
      </c>
      <c r="B4" s="5">
        <v>596</v>
      </c>
      <c r="C4" s="5">
        <v>1633641.9200000016</v>
      </c>
      <c r="D4" s="5">
        <v>263469.359</v>
      </c>
      <c r="E4" s="5">
        <v>1370172.5609999998</v>
      </c>
      <c r="F4" s="4">
        <v>2765.3994059405945</v>
      </c>
    </row>
    <row r="5" spans="1:6" x14ac:dyDescent="0.3">
      <c r="A5" s="3" t="s">
        <v>251</v>
      </c>
      <c r="B5" s="5">
        <v>596</v>
      </c>
      <c r="C5" s="5">
        <v>1633641.9200000016</v>
      </c>
      <c r="D5" s="5">
        <v>263469.359</v>
      </c>
      <c r="E5" s="5">
        <v>1370172.5609999998</v>
      </c>
      <c r="F5" s="5">
        <v>2765.3994059405945</v>
      </c>
    </row>
    <row r="11" spans="1:6" x14ac:dyDescent="0.3">
      <c r="B11">
        <f>GETPIVOTDATA("Sum of Quantity",$A$3)</f>
        <v>596</v>
      </c>
      <c r="D11">
        <f>GETPIVOTDATA("Sum of Discount amount",$A$3)</f>
        <v>263469.359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855C-DF3F-4F78-9449-7352C5B3F655}">
  <dimension ref="A3:A4"/>
  <sheetViews>
    <sheetView workbookViewId="0">
      <selection activeCell="G11" sqref="G11"/>
    </sheetView>
  </sheetViews>
  <sheetFormatPr defaultRowHeight="14.4" x14ac:dyDescent="0.3"/>
  <cols>
    <col min="1" max="2" width="16.44140625" bestFit="1" customWidth="1"/>
  </cols>
  <sheetData>
    <row r="3" spans="1:1" x14ac:dyDescent="0.3">
      <c r="A3" t="s">
        <v>258</v>
      </c>
    </row>
    <row r="4" spans="1:1" x14ac:dyDescent="0.3">
      <c r="A4">
        <v>300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0AB7B-0BDC-4EC3-BFAC-0DD16477C47C}">
  <dimension ref="A3:B7"/>
  <sheetViews>
    <sheetView workbookViewId="0">
      <selection activeCell="B8" sqref="B8"/>
    </sheetView>
  </sheetViews>
  <sheetFormatPr defaultRowHeight="14.4" x14ac:dyDescent="0.3"/>
  <cols>
    <col min="1" max="2" width="19.44140625" bestFit="1" customWidth="1"/>
  </cols>
  <sheetData>
    <row r="3" spans="1:2" x14ac:dyDescent="0.3">
      <c r="A3" t="s">
        <v>263</v>
      </c>
    </row>
    <row r="4" spans="1:2" x14ac:dyDescent="0.3">
      <c r="A4">
        <v>2530.3105333333351</v>
      </c>
    </row>
    <row r="7" spans="1:2" x14ac:dyDescent="0.3">
      <c r="B7">
        <f>GETPIVOTDATA("Unit_Price",$A$3)</f>
        <v>2530.3105333333351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3D4E-11F6-4958-817B-F39D17A4AB10}">
  <dimension ref="A1:Q301"/>
  <sheetViews>
    <sheetView tabSelected="1" topLeftCell="A2" workbookViewId="0">
      <selection activeCell="S21" sqref="S21"/>
    </sheetView>
  </sheetViews>
  <sheetFormatPr defaultRowHeight="14.4" x14ac:dyDescent="0.3"/>
  <cols>
    <col min="1" max="1" width="10.44140625" customWidth="1"/>
    <col min="2" max="2" width="12.5546875" customWidth="1"/>
    <col min="3" max="3" width="11" customWidth="1"/>
    <col min="5" max="5" width="10.44140625" customWidth="1"/>
    <col min="6" max="6" width="9.5546875" customWidth="1"/>
    <col min="7" max="7" width="10.21875" customWidth="1"/>
    <col min="8" max="8" width="11.5546875" customWidth="1"/>
    <col min="9" max="9" width="10.21875" customWidth="1"/>
    <col min="10" max="10" width="12.88671875" customWidth="1"/>
    <col min="11" max="11" width="16.44140625" customWidth="1"/>
    <col min="12" max="12" width="13.88671875" customWidth="1"/>
  </cols>
  <sheetData>
    <row r="1" spans="1:17" x14ac:dyDescent="0.3">
      <c r="A1" t="s">
        <v>0</v>
      </c>
      <c r="B1" t="s">
        <v>1</v>
      </c>
      <c r="C1" t="s">
        <v>2</v>
      </c>
      <c r="D1" t="s">
        <v>3</v>
      </c>
      <c r="E1" t="s">
        <v>4</v>
      </c>
      <c r="F1" t="s">
        <v>5</v>
      </c>
      <c r="G1" t="s">
        <v>6</v>
      </c>
      <c r="H1" t="s">
        <v>7</v>
      </c>
      <c r="I1" t="s">
        <v>8</v>
      </c>
      <c r="J1" t="s">
        <v>9</v>
      </c>
      <c r="K1" t="s">
        <v>10</v>
      </c>
      <c r="L1" t="s">
        <v>11</v>
      </c>
      <c r="M1" t="s">
        <v>252</v>
      </c>
      <c r="N1" t="s">
        <v>253</v>
      </c>
      <c r="O1" t="s">
        <v>254</v>
      </c>
      <c r="P1" t="s">
        <v>255</v>
      </c>
      <c r="Q1" t="s">
        <v>256</v>
      </c>
    </row>
    <row r="2" spans="1:17" x14ac:dyDescent="0.3">
      <c r="A2">
        <v>1001</v>
      </c>
      <c r="B2" t="s">
        <v>12</v>
      </c>
      <c r="C2" t="s">
        <v>13</v>
      </c>
      <c r="D2" t="s">
        <v>14</v>
      </c>
      <c r="E2" t="s">
        <v>15</v>
      </c>
      <c r="F2" t="s">
        <v>16</v>
      </c>
      <c r="G2">
        <v>3</v>
      </c>
      <c r="H2">
        <v>1966.17</v>
      </c>
      <c r="I2">
        <v>15</v>
      </c>
      <c r="J2" t="s">
        <v>17</v>
      </c>
      <c r="K2" t="s">
        <v>18</v>
      </c>
      <c r="L2" t="s">
        <v>19</v>
      </c>
      <c r="M2">
        <f>Table1[[#This Row],[Quantity]]*Table1[[#This Row],[Unit_Price]]</f>
        <v>5898.51</v>
      </c>
      <c r="N2">
        <f>Table1[[#This Row],[Sales amount]]*Table1[[#This Row],[Discount]]/100</f>
        <v>884.77650000000006</v>
      </c>
      <c r="O2">
        <f>Table1[[#This Row],[Sales amount]]-Table1[[#This Row],[Discount amount]]</f>
        <v>5013.7335000000003</v>
      </c>
      <c r="P2" t="str">
        <f>TEXT(Table1[[#This Row],[Order_Date]],"mmm")</f>
        <v>Jul</v>
      </c>
      <c r="Q2">
        <f>YEAR(Table1[[#This Row],[Order_Date]])</f>
        <v>2023</v>
      </c>
    </row>
    <row r="3" spans="1:17" x14ac:dyDescent="0.3">
      <c r="A3">
        <v>1002</v>
      </c>
      <c r="B3" t="s">
        <v>20</v>
      </c>
      <c r="C3" t="s">
        <v>21</v>
      </c>
      <c r="D3" t="s">
        <v>22</v>
      </c>
      <c r="E3" t="s">
        <v>15</v>
      </c>
      <c r="F3" t="s">
        <v>23</v>
      </c>
      <c r="G3">
        <v>7</v>
      </c>
      <c r="H3">
        <v>4401.58</v>
      </c>
      <c r="I3">
        <v>5</v>
      </c>
      <c r="J3" t="s">
        <v>24</v>
      </c>
      <c r="K3" t="s">
        <v>18</v>
      </c>
      <c r="L3" t="s">
        <v>19</v>
      </c>
      <c r="M3">
        <f>Table1[[#This Row],[Quantity]]*Table1[[#This Row],[Unit_Price]]</f>
        <v>30811.059999999998</v>
      </c>
      <c r="N3">
        <f>Table1[[#This Row],[Sales amount]]*Table1[[#This Row],[Discount]]/100</f>
        <v>1540.5529999999999</v>
      </c>
      <c r="O3">
        <f>Table1[[#This Row],[Sales amount]]-Table1[[#This Row],[Discount amount]]</f>
        <v>29270.506999999998</v>
      </c>
      <c r="P3" t="str">
        <f>TEXT(Table1[[#This Row],[Order_Date]],"mmm")</f>
        <v>Mar</v>
      </c>
      <c r="Q3">
        <f>YEAR(Table1[[#This Row],[Order_Date]])</f>
        <v>2023</v>
      </c>
    </row>
    <row r="4" spans="1:17" x14ac:dyDescent="0.3">
      <c r="A4">
        <v>1003</v>
      </c>
      <c r="B4" t="s">
        <v>25</v>
      </c>
      <c r="C4" t="s">
        <v>42</v>
      </c>
      <c r="D4" t="s">
        <v>22</v>
      </c>
      <c r="E4" t="s">
        <v>27</v>
      </c>
      <c r="F4" t="s">
        <v>23</v>
      </c>
      <c r="G4">
        <v>5</v>
      </c>
      <c r="H4">
        <v>1111.8399999999999</v>
      </c>
      <c r="I4">
        <v>11</v>
      </c>
      <c r="J4" t="s">
        <v>28</v>
      </c>
      <c r="K4" t="s">
        <v>29</v>
      </c>
      <c r="L4" t="s">
        <v>30</v>
      </c>
      <c r="M4">
        <f>Table1[[#This Row],[Quantity]]*Table1[[#This Row],[Unit_Price]]</f>
        <v>5559.2</v>
      </c>
      <c r="N4">
        <f>Table1[[#This Row],[Sales amount]]*Table1[[#This Row],[Discount]]/100</f>
        <v>611.51199999999994</v>
      </c>
      <c r="O4">
        <f>Table1[[#This Row],[Sales amount]]-Table1[[#This Row],[Discount amount]]</f>
        <v>4947.6880000000001</v>
      </c>
      <c r="P4" t="str">
        <f>TEXT(Table1[[#This Row],[Order_Date]],"mmm")</f>
        <v>Nov</v>
      </c>
      <c r="Q4">
        <f>YEAR(Table1[[#This Row],[Order_Date]])</f>
        <v>2023</v>
      </c>
    </row>
    <row r="5" spans="1:17" x14ac:dyDescent="0.3">
      <c r="A5">
        <v>1004</v>
      </c>
      <c r="B5" t="s">
        <v>31</v>
      </c>
      <c r="C5" t="s">
        <v>32</v>
      </c>
      <c r="D5" t="s">
        <v>33</v>
      </c>
      <c r="E5" t="s">
        <v>34</v>
      </c>
      <c r="F5" t="s">
        <v>35</v>
      </c>
      <c r="G5">
        <v>7</v>
      </c>
      <c r="H5">
        <v>1149.6099999999999</v>
      </c>
      <c r="I5">
        <v>28</v>
      </c>
      <c r="J5" t="s">
        <v>28</v>
      </c>
      <c r="K5" t="s">
        <v>29</v>
      </c>
      <c r="L5" t="s">
        <v>30</v>
      </c>
      <c r="M5">
        <f>Table1[[#This Row],[Quantity]]*Table1[[#This Row],[Unit_Price]]</f>
        <v>8047.2699999999995</v>
      </c>
      <c r="N5">
        <f>Table1[[#This Row],[Sales amount]]*Table1[[#This Row],[Discount]]/100</f>
        <v>2253.2356</v>
      </c>
      <c r="O5">
        <f>Table1[[#This Row],[Sales amount]]-Table1[[#This Row],[Discount amount]]</f>
        <v>5794.0343999999996</v>
      </c>
      <c r="P5" t="str">
        <f>TEXT(Table1[[#This Row],[Order_Date]],"mmm")</f>
        <v>Mar</v>
      </c>
      <c r="Q5">
        <f>YEAR(Table1[[#This Row],[Order_Date]])</f>
        <v>2023</v>
      </c>
    </row>
    <row r="6" spans="1:17" x14ac:dyDescent="0.3">
      <c r="A6">
        <v>1005</v>
      </c>
      <c r="B6" t="s">
        <v>36</v>
      </c>
      <c r="C6" t="s">
        <v>32</v>
      </c>
      <c r="D6" t="s">
        <v>43</v>
      </c>
      <c r="E6" t="s">
        <v>34</v>
      </c>
      <c r="F6" t="s">
        <v>38</v>
      </c>
      <c r="G6">
        <v>6</v>
      </c>
      <c r="H6">
        <v>921.52</v>
      </c>
      <c r="I6">
        <v>2</v>
      </c>
      <c r="J6" t="s">
        <v>39</v>
      </c>
      <c r="K6" t="s">
        <v>40</v>
      </c>
      <c r="L6" t="s">
        <v>30</v>
      </c>
      <c r="M6">
        <f>Table1[[#This Row],[Quantity]]*Table1[[#This Row],[Unit_Price]]</f>
        <v>5529.12</v>
      </c>
      <c r="N6">
        <f>Table1[[#This Row],[Sales amount]]*Table1[[#This Row],[Discount]]/100</f>
        <v>110.58239999999999</v>
      </c>
      <c r="O6">
        <f>Table1[[#This Row],[Sales amount]]-Table1[[#This Row],[Discount amount]]</f>
        <v>5418.5375999999997</v>
      </c>
      <c r="P6" t="str">
        <f>TEXT(Table1[[#This Row],[Order_Date]],"mmm")</f>
        <v>Mar</v>
      </c>
      <c r="Q6">
        <f>YEAR(Table1[[#This Row],[Order_Date]])</f>
        <v>2023</v>
      </c>
    </row>
    <row r="7" spans="1:17" x14ac:dyDescent="0.3">
      <c r="A7">
        <v>1006</v>
      </c>
      <c r="B7" t="s">
        <v>41</v>
      </c>
      <c r="C7" t="s">
        <v>42</v>
      </c>
      <c r="D7" t="s">
        <v>43</v>
      </c>
      <c r="E7" t="s">
        <v>15</v>
      </c>
      <c r="F7" t="s">
        <v>44</v>
      </c>
      <c r="G7">
        <v>6</v>
      </c>
      <c r="H7">
        <v>2998.71</v>
      </c>
      <c r="I7">
        <v>16</v>
      </c>
      <c r="J7" t="s">
        <v>17</v>
      </c>
      <c r="K7" t="s">
        <v>29</v>
      </c>
      <c r="L7" t="s">
        <v>19</v>
      </c>
      <c r="M7">
        <f>Table1[[#This Row],[Quantity]]*Table1[[#This Row],[Unit_Price]]</f>
        <v>17992.260000000002</v>
      </c>
      <c r="N7">
        <f>Table1[[#This Row],[Sales amount]]*Table1[[#This Row],[Discount]]/100</f>
        <v>2878.7616000000003</v>
      </c>
      <c r="O7">
        <f>Table1[[#This Row],[Sales amount]]-Table1[[#This Row],[Discount amount]]</f>
        <v>15113.498400000002</v>
      </c>
      <c r="P7" t="str">
        <f>TEXT(Table1[[#This Row],[Order_Date]],"mmm")</f>
        <v>Jan</v>
      </c>
      <c r="Q7">
        <f>YEAR(Table1[[#This Row],[Order_Date]])</f>
        <v>2024</v>
      </c>
    </row>
    <row r="8" spans="1:17" x14ac:dyDescent="0.3">
      <c r="A8">
        <v>1007</v>
      </c>
      <c r="B8" t="s">
        <v>45</v>
      </c>
      <c r="C8" t="s">
        <v>46</v>
      </c>
      <c r="D8" t="s">
        <v>47</v>
      </c>
      <c r="E8" t="s">
        <v>34</v>
      </c>
      <c r="F8" t="s">
        <v>35</v>
      </c>
      <c r="G8">
        <v>9</v>
      </c>
      <c r="H8">
        <v>4852.4799999999996</v>
      </c>
      <c r="I8">
        <v>13</v>
      </c>
      <c r="J8" t="s">
        <v>39</v>
      </c>
      <c r="K8" t="s">
        <v>18</v>
      </c>
      <c r="L8" t="s">
        <v>48</v>
      </c>
      <c r="M8">
        <f>Table1[[#This Row],[Quantity]]*Table1[[#This Row],[Unit_Price]]</f>
        <v>43672.319999999992</v>
      </c>
      <c r="N8">
        <f>Table1[[#This Row],[Sales amount]]*Table1[[#This Row],[Discount]]/100</f>
        <v>5677.4015999999992</v>
      </c>
      <c r="O8">
        <f>Table1[[#This Row],[Sales amount]]-Table1[[#This Row],[Discount amount]]</f>
        <v>37994.918399999995</v>
      </c>
      <c r="P8" t="str">
        <f>TEXT(Table1[[#This Row],[Order_Date]],"mmm")</f>
        <v>Aug</v>
      </c>
      <c r="Q8">
        <f>YEAR(Table1[[#This Row],[Order_Date]])</f>
        <v>2023</v>
      </c>
    </row>
    <row r="9" spans="1:17" x14ac:dyDescent="0.3">
      <c r="A9">
        <v>1008</v>
      </c>
      <c r="B9" t="s">
        <v>49</v>
      </c>
      <c r="C9" t="s">
        <v>42</v>
      </c>
      <c r="D9" t="s">
        <v>22</v>
      </c>
      <c r="E9" t="s">
        <v>27</v>
      </c>
      <c r="F9" t="s">
        <v>23</v>
      </c>
      <c r="G9">
        <v>8</v>
      </c>
      <c r="H9">
        <v>1143.23</v>
      </c>
      <c r="I9">
        <v>5</v>
      </c>
      <c r="J9" t="s">
        <v>39</v>
      </c>
      <c r="K9" t="s">
        <v>29</v>
      </c>
      <c r="L9" t="s">
        <v>48</v>
      </c>
      <c r="M9">
        <f>Table1[[#This Row],[Quantity]]*Table1[[#This Row],[Unit_Price]]</f>
        <v>9145.84</v>
      </c>
      <c r="N9">
        <f>Table1[[#This Row],[Sales amount]]*Table1[[#This Row],[Discount]]/100</f>
        <v>457.29199999999997</v>
      </c>
      <c r="O9">
        <f>Table1[[#This Row],[Sales amount]]-Table1[[#This Row],[Discount amount]]</f>
        <v>8688.5480000000007</v>
      </c>
      <c r="P9" t="str">
        <f>TEXT(Table1[[#This Row],[Order_Date]],"mmm")</f>
        <v>Feb</v>
      </c>
      <c r="Q9">
        <f>YEAR(Table1[[#This Row],[Order_Date]])</f>
        <v>2023</v>
      </c>
    </row>
    <row r="10" spans="1:17" x14ac:dyDescent="0.3">
      <c r="A10">
        <v>1009</v>
      </c>
      <c r="B10" t="s">
        <v>50</v>
      </c>
      <c r="C10" t="s">
        <v>32</v>
      </c>
      <c r="D10" t="s">
        <v>43</v>
      </c>
      <c r="E10" t="s">
        <v>34</v>
      </c>
      <c r="F10" t="s">
        <v>16</v>
      </c>
      <c r="G10">
        <v>7</v>
      </c>
      <c r="H10">
        <v>3547.75</v>
      </c>
      <c r="I10">
        <v>22</v>
      </c>
      <c r="J10" t="s">
        <v>17</v>
      </c>
      <c r="K10" t="s">
        <v>29</v>
      </c>
      <c r="L10" t="s">
        <v>48</v>
      </c>
      <c r="M10">
        <f>Table1[[#This Row],[Quantity]]*Table1[[#This Row],[Unit_Price]]</f>
        <v>24834.25</v>
      </c>
      <c r="N10">
        <f>Table1[[#This Row],[Sales amount]]*Table1[[#This Row],[Discount]]/100</f>
        <v>5463.5349999999999</v>
      </c>
      <c r="O10">
        <f>Table1[[#This Row],[Sales amount]]-Table1[[#This Row],[Discount amount]]</f>
        <v>19370.715</v>
      </c>
      <c r="P10" t="str">
        <f>TEXT(Table1[[#This Row],[Order_Date]],"mmm")</f>
        <v>Jan</v>
      </c>
      <c r="Q10">
        <f>YEAR(Table1[[#This Row],[Order_Date]])</f>
        <v>2023</v>
      </c>
    </row>
    <row r="11" spans="1:17" x14ac:dyDescent="0.3">
      <c r="A11">
        <v>1010</v>
      </c>
      <c r="B11" t="s">
        <v>51</v>
      </c>
      <c r="C11" t="s">
        <v>52</v>
      </c>
      <c r="D11" t="s">
        <v>33</v>
      </c>
      <c r="E11" t="s">
        <v>27</v>
      </c>
      <c r="F11" t="s">
        <v>35</v>
      </c>
      <c r="G11">
        <v>6</v>
      </c>
      <c r="H11">
        <v>297.75</v>
      </c>
      <c r="I11">
        <v>2</v>
      </c>
      <c r="J11" t="s">
        <v>39</v>
      </c>
      <c r="K11" t="s">
        <v>18</v>
      </c>
      <c r="L11" t="s">
        <v>19</v>
      </c>
      <c r="M11">
        <f>Table1[[#This Row],[Quantity]]*Table1[[#This Row],[Unit_Price]]</f>
        <v>1786.5</v>
      </c>
      <c r="N11">
        <f>Table1[[#This Row],[Sales amount]]*Table1[[#This Row],[Discount]]/100</f>
        <v>35.729999999999997</v>
      </c>
      <c r="O11">
        <f>Table1[[#This Row],[Sales amount]]-Table1[[#This Row],[Discount amount]]</f>
        <v>1750.77</v>
      </c>
      <c r="P11" t="str">
        <f>TEXT(Table1[[#This Row],[Order_Date]],"mmm")</f>
        <v>Jan</v>
      </c>
      <c r="Q11">
        <f>YEAR(Table1[[#This Row],[Order_Date]])</f>
        <v>2023</v>
      </c>
    </row>
    <row r="12" spans="1:17" x14ac:dyDescent="0.3">
      <c r="A12">
        <v>1011</v>
      </c>
      <c r="B12" t="s">
        <v>53</v>
      </c>
      <c r="C12" t="s">
        <v>54</v>
      </c>
      <c r="D12" t="s">
        <v>47</v>
      </c>
      <c r="E12" t="s">
        <v>27</v>
      </c>
      <c r="F12" t="s">
        <v>44</v>
      </c>
      <c r="G12">
        <v>9</v>
      </c>
      <c r="H12">
        <v>628.54</v>
      </c>
      <c r="I12">
        <v>7</v>
      </c>
      <c r="J12" t="s">
        <v>17</v>
      </c>
      <c r="K12" t="s">
        <v>29</v>
      </c>
      <c r="L12" t="s">
        <v>48</v>
      </c>
      <c r="M12">
        <f>Table1[[#This Row],[Quantity]]*Table1[[#This Row],[Unit_Price]]</f>
        <v>5656.86</v>
      </c>
      <c r="N12">
        <f>Table1[[#This Row],[Sales amount]]*Table1[[#This Row],[Discount]]/100</f>
        <v>395.98019999999997</v>
      </c>
      <c r="O12">
        <f>Table1[[#This Row],[Sales amount]]-Table1[[#This Row],[Discount amount]]</f>
        <v>5260.8797999999997</v>
      </c>
      <c r="P12" t="str">
        <f>TEXT(Table1[[#This Row],[Order_Date]],"mmm")</f>
        <v>Nov</v>
      </c>
      <c r="Q12">
        <f>YEAR(Table1[[#This Row],[Order_Date]])</f>
        <v>2023</v>
      </c>
    </row>
    <row r="13" spans="1:17" x14ac:dyDescent="0.3">
      <c r="A13">
        <v>1012</v>
      </c>
      <c r="B13" t="s">
        <v>55</v>
      </c>
      <c r="C13" t="s">
        <v>21</v>
      </c>
      <c r="D13" t="s">
        <v>43</v>
      </c>
      <c r="E13" t="s">
        <v>34</v>
      </c>
      <c r="F13" t="s">
        <v>44</v>
      </c>
      <c r="G13">
        <v>1</v>
      </c>
      <c r="H13">
        <v>2532.25</v>
      </c>
      <c r="I13">
        <v>8</v>
      </c>
      <c r="J13" t="s">
        <v>28</v>
      </c>
      <c r="K13" t="s">
        <v>29</v>
      </c>
      <c r="L13" t="s">
        <v>30</v>
      </c>
      <c r="M13">
        <f>Table1[[#This Row],[Quantity]]*Table1[[#This Row],[Unit_Price]]</f>
        <v>2532.25</v>
      </c>
      <c r="N13">
        <f>Table1[[#This Row],[Sales amount]]*Table1[[#This Row],[Discount]]/100</f>
        <v>202.58</v>
      </c>
      <c r="O13">
        <f>Table1[[#This Row],[Sales amount]]-Table1[[#This Row],[Discount amount]]</f>
        <v>2329.67</v>
      </c>
      <c r="P13" t="str">
        <f>TEXT(Table1[[#This Row],[Order_Date]],"mmm")</f>
        <v>Jun</v>
      </c>
      <c r="Q13">
        <f>YEAR(Table1[[#This Row],[Order_Date]])</f>
        <v>2023</v>
      </c>
    </row>
    <row r="14" spans="1:17" x14ac:dyDescent="0.3">
      <c r="A14">
        <v>1013</v>
      </c>
      <c r="B14" t="s">
        <v>56</v>
      </c>
      <c r="C14" t="s">
        <v>13</v>
      </c>
      <c r="D14" t="s">
        <v>33</v>
      </c>
      <c r="E14" t="s">
        <v>15</v>
      </c>
      <c r="F14" t="s">
        <v>38</v>
      </c>
      <c r="G14">
        <v>10</v>
      </c>
      <c r="H14">
        <v>1303.73</v>
      </c>
      <c r="I14">
        <v>26</v>
      </c>
      <c r="J14" t="s">
        <v>39</v>
      </c>
      <c r="K14" t="s">
        <v>40</v>
      </c>
      <c r="L14" t="s">
        <v>30</v>
      </c>
      <c r="M14">
        <f>Table1[[#This Row],[Quantity]]*Table1[[#This Row],[Unit_Price]]</f>
        <v>13037.3</v>
      </c>
      <c r="N14">
        <f>Table1[[#This Row],[Sales amount]]*Table1[[#This Row],[Discount]]/100</f>
        <v>3389.6979999999999</v>
      </c>
      <c r="O14">
        <f>Table1[[#This Row],[Sales amount]]-Table1[[#This Row],[Discount amount]]</f>
        <v>9647.601999999999</v>
      </c>
      <c r="P14" t="str">
        <f>TEXT(Table1[[#This Row],[Order_Date]],"mmm")</f>
        <v>Apr</v>
      </c>
      <c r="Q14">
        <f>YEAR(Table1[[#This Row],[Order_Date]])</f>
        <v>2023</v>
      </c>
    </row>
    <row r="15" spans="1:17" x14ac:dyDescent="0.3">
      <c r="A15">
        <v>1014</v>
      </c>
      <c r="B15" t="s">
        <v>57</v>
      </c>
      <c r="C15" t="s">
        <v>46</v>
      </c>
      <c r="D15" t="s">
        <v>22</v>
      </c>
      <c r="E15" t="s">
        <v>34</v>
      </c>
      <c r="F15" t="s">
        <v>35</v>
      </c>
      <c r="G15">
        <v>9</v>
      </c>
      <c r="H15">
        <v>2756.25</v>
      </c>
      <c r="I15">
        <v>14</v>
      </c>
      <c r="J15" t="s">
        <v>17</v>
      </c>
      <c r="K15" t="s">
        <v>18</v>
      </c>
      <c r="L15" t="s">
        <v>30</v>
      </c>
      <c r="M15">
        <f>Table1[[#This Row],[Quantity]]*Table1[[#This Row],[Unit_Price]]</f>
        <v>24806.25</v>
      </c>
      <c r="N15">
        <f>Table1[[#This Row],[Sales amount]]*Table1[[#This Row],[Discount]]/100</f>
        <v>3472.875</v>
      </c>
      <c r="O15">
        <f>Table1[[#This Row],[Sales amount]]-Table1[[#This Row],[Discount amount]]</f>
        <v>21333.375</v>
      </c>
      <c r="P15" t="str">
        <f>TEXT(Table1[[#This Row],[Order_Date]],"mmm")</f>
        <v>Nov</v>
      </c>
      <c r="Q15">
        <f>YEAR(Table1[[#This Row],[Order_Date]])</f>
        <v>2023</v>
      </c>
    </row>
    <row r="16" spans="1:17" x14ac:dyDescent="0.3">
      <c r="A16">
        <v>1015</v>
      </c>
      <c r="B16" t="s">
        <v>58</v>
      </c>
      <c r="C16" t="s">
        <v>32</v>
      </c>
      <c r="D16" t="s">
        <v>47</v>
      </c>
      <c r="E16" t="s">
        <v>27</v>
      </c>
      <c r="F16" t="s">
        <v>38</v>
      </c>
      <c r="G16">
        <v>1</v>
      </c>
      <c r="H16">
        <v>737.07</v>
      </c>
      <c r="I16">
        <v>27</v>
      </c>
      <c r="J16" t="s">
        <v>28</v>
      </c>
      <c r="K16" t="s">
        <v>18</v>
      </c>
      <c r="L16" t="s">
        <v>48</v>
      </c>
      <c r="M16">
        <f>Table1[[#This Row],[Quantity]]*Table1[[#This Row],[Unit_Price]]</f>
        <v>737.07</v>
      </c>
      <c r="N16">
        <f>Table1[[#This Row],[Sales amount]]*Table1[[#This Row],[Discount]]/100</f>
        <v>199.00890000000004</v>
      </c>
      <c r="O16">
        <f>Table1[[#This Row],[Sales amount]]-Table1[[#This Row],[Discount amount]]</f>
        <v>538.06110000000001</v>
      </c>
      <c r="P16" t="str">
        <f>TEXT(Table1[[#This Row],[Order_Date]],"mmm")</f>
        <v>Jun</v>
      </c>
      <c r="Q16">
        <f>YEAR(Table1[[#This Row],[Order_Date]])</f>
        <v>2023</v>
      </c>
    </row>
    <row r="17" spans="1:17" x14ac:dyDescent="0.3">
      <c r="A17">
        <v>1016</v>
      </c>
      <c r="B17" t="s">
        <v>59</v>
      </c>
      <c r="C17" t="s">
        <v>21</v>
      </c>
      <c r="D17" t="s">
        <v>47</v>
      </c>
      <c r="E17" t="s">
        <v>15</v>
      </c>
      <c r="F17" t="s">
        <v>23</v>
      </c>
      <c r="G17">
        <v>3</v>
      </c>
      <c r="H17" s="1">
        <v>2500</v>
      </c>
      <c r="I17">
        <v>6</v>
      </c>
      <c r="J17" t="s">
        <v>24</v>
      </c>
      <c r="K17" t="s">
        <v>29</v>
      </c>
      <c r="L17" t="s">
        <v>19</v>
      </c>
      <c r="M17">
        <f>Table1[[#This Row],[Quantity]]*Table1[[#This Row],[Unit_Price]]</f>
        <v>7500</v>
      </c>
      <c r="N17">
        <f>Table1[[#This Row],[Sales amount]]*Table1[[#This Row],[Discount]]/100</f>
        <v>450</v>
      </c>
      <c r="O17">
        <f>Table1[[#This Row],[Sales amount]]-Table1[[#This Row],[Discount amount]]</f>
        <v>7050</v>
      </c>
      <c r="P17" t="str">
        <f>TEXT(Table1[[#This Row],[Order_Date]],"mmm")</f>
        <v>Jul</v>
      </c>
      <c r="Q17">
        <f>YEAR(Table1[[#This Row],[Order_Date]])</f>
        <v>2023</v>
      </c>
    </row>
    <row r="18" spans="1:17" x14ac:dyDescent="0.3">
      <c r="A18">
        <v>1017</v>
      </c>
      <c r="B18" t="s">
        <v>61</v>
      </c>
      <c r="C18" t="s">
        <v>46</v>
      </c>
      <c r="D18" t="s">
        <v>33</v>
      </c>
      <c r="E18" t="s">
        <v>27</v>
      </c>
      <c r="F18" t="s">
        <v>62</v>
      </c>
      <c r="G18">
        <v>5</v>
      </c>
      <c r="H18">
        <v>3503.07</v>
      </c>
      <c r="I18">
        <v>2</v>
      </c>
      <c r="J18" t="s">
        <v>24</v>
      </c>
      <c r="K18" t="s">
        <v>29</v>
      </c>
      <c r="L18" t="s">
        <v>19</v>
      </c>
      <c r="M18">
        <f>Table1[[#This Row],[Quantity]]*Table1[[#This Row],[Unit_Price]]</f>
        <v>17515.350000000002</v>
      </c>
      <c r="N18">
        <f>Table1[[#This Row],[Sales amount]]*Table1[[#This Row],[Discount]]/100</f>
        <v>350.30700000000002</v>
      </c>
      <c r="O18">
        <f>Table1[[#This Row],[Sales amount]]-Table1[[#This Row],[Discount amount]]</f>
        <v>17165.043000000001</v>
      </c>
      <c r="P18" t="str">
        <f>TEXT(Table1[[#This Row],[Order_Date]],"mmm")</f>
        <v>Feb</v>
      </c>
      <c r="Q18">
        <f>YEAR(Table1[[#This Row],[Order_Date]])</f>
        <v>2023</v>
      </c>
    </row>
    <row r="19" spans="1:17" x14ac:dyDescent="0.3">
      <c r="A19">
        <v>1018</v>
      </c>
      <c r="B19" t="s">
        <v>63</v>
      </c>
      <c r="C19" t="s">
        <v>54</v>
      </c>
      <c r="D19" t="s">
        <v>22</v>
      </c>
      <c r="E19" t="s">
        <v>34</v>
      </c>
      <c r="F19" t="s">
        <v>44</v>
      </c>
      <c r="G19">
        <v>4</v>
      </c>
      <c r="H19">
        <v>1357.51</v>
      </c>
      <c r="I19">
        <v>30</v>
      </c>
      <c r="J19" t="s">
        <v>24</v>
      </c>
      <c r="K19" t="s">
        <v>18</v>
      </c>
      <c r="L19" t="s">
        <v>19</v>
      </c>
      <c r="M19">
        <f>Table1[[#This Row],[Quantity]]*Table1[[#This Row],[Unit_Price]]</f>
        <v>5430.04</v>
      </c>
      <c r="N19">
        <f>Table1[[#This Row],[Sales amount]]*Table1[[#This Row],[Discount]]/100</f>
        <v>1629.0120000000002</v>
      </c>
      <c r="O19">
        <f>Table1[[#This Row],[Sales amount]]-Table1[[#This Row],[Discount amount]]</f>
        <v>3801.0279999999998</v>
      </c>
      <c r="P19" t="str">
        <f>TEXT(Table1[[#This Row],[Order_Date]],"mmm")</f>
        <v>Jun</v>
      </c>
      <c r="Q19">
        <f>YEAR(Table1[[#This Row],[Order_Date]])</f>
        <v>2023</v>
      </c>
    </row>
    <row r="20" spans="1:17" x14ac:dyDescent="0.3">
      <c r="A20">
        <v>1019</v>
      </c>
      <c r="B20" t="s">
        <v>64</v>
      </c>
      <c r="C20" t="s">
        <v>65</v>
      </c>
      <c r="D20" t="s">
        <v>47</v>
      </c>
      <c r="E20" t="s">
        <v>34</v>
      </c>
      <c r="F20" t="s">
        <v>44</v>
      </c>
      <c r="G20">
        <v>7</v>
      </c>
      <c r="H20">
        <v>562.97</v>
      </c>
      <c r="I20">
        <v>16</v>
      </c>
      <c r="J20" t="s">
        <v>28</v>
      </c>
      <c r="K20" t="s">
        <v>40</v>
      </c>
      <c r="L20" t="s">
        <v>19</v>
      </c>
      <c r="M20">
        <f>Table1[[#This Row],[Quantity]]*Table1[[#This Row],[Unit_Price]]</f>
        <v>3940.79</v>
      </c>
      <c r="N20">
        <f>Table1[[#This Row],[Sales amount]]*Table1[[#This Row],[Discount]]/100</f>
        <v>630.52639999999997</v>
      </c>
      <c r="O20">
        <f>Table1[[#This Row],[Sales amount]]-Table1[[#This Row],[Discount amount]]</f>
        <v>3310.2636000000002</v>
      </c>
      <c r="P20" t="str">
        <f>TEXT(Table1[[#This Row],[Order_Date]],"mmm")</f>
        <v>Apr</v>
      </c>
      <c r="Q20">
        <f>YEAR(Table1[[#This Row],[Order_Date]])</f>
        <v>2023</v>
      </c>
    </row>
    <row r="21" spans="1:17" x14ac:dyDescent="0.3">
      <c r="A21">
        <v>1020</v>
      </c>
      <c r="B21" t="s">
        <v>66</v>
      </c>
      <c r="C21" t="s">
        <v>21</v>
      </c>
      <c r="D21" t="s">
        <v>22</v>
      </c>
      <c r="E21" t="s">
        <v>15</v>
      </c>
      <c r="F21" t="s">
        <v>44</v>
      </c>
      <c r="G21">
        <v>9</v>
      </c>
      <c r="H21">
        <v>3339.38</v>
      </c>
      <c r="I21">
        <v>5</v>
      </c>
      <c r="J21" t="s">
        <v>24</v>
      </c>
      <c r="K21" t="s">
        <v>29</v>
      </c>
      <c r="L21" t="s">
        <v>30</v>
      </c>
      <c r="M21">
        <f>Table1[[#This Row],[Quantity]]*Table1[[#This Row],[Unit_Price]]</f>
        <v>30054.420000000002</v>
      </c>
      <c r="N21">
        <f>Table1[[#This Row],[Sales amount]]*Table1[[#This Row],[Discount]]/100</f>
        <v>1502.721</v>
      </c>
      <c r="O21">
        <f>Table1[[#This Row],[Sales amount]]-Table1[[#This Row],[Discount amount]]</f>
        <v>28551.699000000001</v>
      </c>
      <c r="P21" t="str">
        <f>TEXT(Table1[[#This Row],[Order_Date]],"mmm")</f>
        <v>Jan</v>
      </c>
      <c r="Q21">
        <f>YEAR(Table1[[#This Row],[Order_Date]])</f>
        <v>2023</v>
      </c>
    </row>
    <row r="22" spans="1:17" x14ac:dyDescent="0.3">
      <c r="A22">
        <v>1021</v>
      </c>
      <c r="B22" t="s">
        <v>67</v>
      </c>
      <c r="C22" t="s">
        <v>21</v>
      </c>
      <c r="D22" t="s">
        <v>22</v>
      </c>
      <c r="E22" t="s">
        <v>27</v>
      </c>
      <c r="F22" t="s">
        <v>23</v>
      </c>
      <c r="G22">
        <v>9</v>
      </c>
      <c r="H22">
        <v>1753.74</v>
      </c>
      <c r="I22">
        <v>55</v>
      </c>
      <c r="J22" t="s">
        <v>28</v>
      </c>
      <c r="K22" t="s">
        <v>29</v>
      </c>
      <c r="L22" t="s">
        <v>48</v>
      </c>
      <c r="M22">
        <f>Table1[[#This Row],[Quantity]]*Table1[[#This Row],[Unit_Price]]</f>
        <v>15783.66</v>
      </c>
      <c r="N22">
        <f>Table1[[#This Row],[Sales amount]]*Table1[[#This Row],[Discount]]/100</f>
        <v>8681.0130000000008</v>
      </c>
      <c r="O22">
        <f>Table1[[#This Row],[Sales amount]]-Table1[[#This Row],[Discount amount]]</f>
        <v>7102.646999999999</v>
      </c>
      <c r="P22" t="str">
        <f>TEXT(Table1[[#This Row],[Order_Date]],"mmm")</f>
        <v>Dec</v>
      </c>
      <c r="Q22">
        <f>YEAR(Table1[[#This Row],[Order_Date]])</f>
        <v>2023</v>
      </c>
    </row>
    <row r="23" spans="1:17" x14ac:dyDescent="0.3">
      <c r="A23">
        <v>1022</v>
      </c>
      <c r="B23" t="s">
        <v>58</v>
      </c>
      <c r="C23" t="s">
        <v>65</v>
      </c>
      <c r="D23" t="s">
        <v>22</v>
      </c>
      <c r="E23" t="s">
        <v>15</v>
      </c>
      <c r="F23" t="s">
        <v>44</v>
      </c>
      <c r="G23">
        <v>9</v>
      </c>
      <c r="H23">
        <v>852.15</v>
      </c>
      <c r="I23">
        <v>25</v>
      </c>
      <c r="J23" t="s">
        <v>24</v>
      </c>
      <c r="K23" t="s">
        <v>18</v>
      </c>
      <c r="L23" t="s">
        <v>30</v>
      </c>
      <c r="M23">
        <f>Table1[[#This Row],[Quantity]]*Table1[[#This Row],[Unit_Price]]</f>
        <v>7669.3499999999995</v>
      </c>
      <c r="N23">
        <f>Table1[[#This Row],[Sales amount]]*Table1[[#This Row],[Discount]]/100</f>
        <v>1917.3375000000001</v>
      </c>
      <c r="O23">
        <f>Table1[[#This Row],[Sales amount]]-Table1[[#This Row],[Discount amount]]</f>
        <v>5752.0124999999989</v>
      </c>
      <c r="P23" t="str">
        <f>TEXT(Table1[[#This Row],[Order_Date]],"mmm")</f>
        <v>Jun</v>
      </c>
      <c r="Q23">
        <f>YEAR(Table1[[#This Row],[Order_Date]])</f>
        <v>2023</v>
      </c>
    </row>
    <row r="24" spans="1:17" x14ac:dyDescent="0.3">
      <c r="A24">
        <v>1023</v>
      </c>
      <c r="B24" t="s">
        <v>68</v>
      </c>
      <c r="C24" t="s">
        <v>42</v>
      </c>
      <c r="D24" t="s">
        <v>14</v>
      </c>
      <c r="E24" t="s">
        <v>27</v>
      </c>
      <c r="F24" t="s">
        <v>44</v>
      </c>
      <c r="G24">
        <v>4</v>
      </c>
      <c r="H24">
        <v>3050.48</v>
      </c>
      <c r="I24">
        <v>2</v>
      </c>
      <c r="J24" t="s">
        <v>28</v>
      </c>
      <c r="K24" t="s">
        <v>40</v>
      </c>
      <c r="L24" t="s">
        <v>19</v>
      </c>
      <c r="M24">
        <f>Table1[[#This Row],[Quantity]]*Table1[[#This Row],[Unit_Price]]</f>
        <v>12201.92</v>
      </c>
      <c r="N24">
        <f>Table1[[#This Row],[Sales amount]]*Table1[[#This Row],[Discount]]/100</f>
        <v>244.0384</v>
      </c>
      <c r="O24">
        <f>Table1[[#This Row],[Sales amount]]-Table1[[#This Row],[Discount amount]]</f>
        <v>11957.881600000001</v>
      </c>
      <c r="P24" t="str">
        <f>TEXT(Table1[[#This Row],[Order_Date]],"mmm")</f>
        <v>Sep</v>
      </c>
      <c r="Q24">
        <f>YEAR(Table1[[#This Row],[Order_Date]])</f>
        <v>2023</v>
      </c>
    </row>
    <row r="25" spans="1:17" x14ac:dyDescent="0.3">
      <c r="A25">
        <v>1024</v>
      </c>
      <c r="B25" t="s">
        <v>69</v>
      </c>
      <c r="C25" t="s">
        <v>21</v>
      </c>
      <c r="D25" t="s">
        <v>33</v>
      </c>
      <c r="E25" t="s">
        <v>15</v>
      </c>
      <c r="F25" t="s">
        <v>23</v>
      </c>
      <c r="G25">
        <v>9</v>
      </c>
      <c r="H25">
        <v>3830.38</v>
      </c>
      <c r="I25">
        <v>28</v>
      </c>
      <c r="J25" t="s">
        <v>39</v>
      </c>
      <c r="K25" t="s">
        <v>18</v>
      </c>
      <c r="L25" t="s">
        <v>19</v>
      </c>
      <c r="M25">
        <f>Table1[[#This Row],[Quantity]]*Table1[[#This Row],[Unit_Price]]</f>
        <v>34473.42</v>
      </c>
      <c r="N25">
        <f>Table1[[#This Row],[Sales amount]]*Table1[[#This Row],[Discount]]/100</f>
        <v>9652.5576000000001</v>
      </c>
      <c r="O25">
        <f>Table1[[#This Row],[Sales amount]]-Table1[[#This Row],[Discount amount]]</f>
        <v>24820.862399999998</v>
      </c>
      <c r="P25" t="str">
        <f>TEXT(Table1[[#This Row],[Order_Date]],"mmm")</f>
        <v>Oct</v>
      </c>
      <c r="Q25">
        <f>YEAR(Table1[[#This Row],[Order_Date]])</f>
        <v>2023</v>
      </c>
    </row>
    <row r="26" spans="1:17" x14ac:dyDescent="0.3">
      <c r="A26">
        <v>1025</v>
      </c>
      <c r="B26" t="s">
        <v>70</v>
      </c>
      <c r="C26" t="s">
        <v>46</v>
      </c>
      <c r="D26" t="s">
        <v>14</v>
      </c>
      <c r="E26" t="s">
        <v>27</v>
      </c>
      <c r="F26" t="s">
        <v>23</v>
      </c>
      <c r="G26">
        <v>10</v>
      </c>
      <c r="H26">
        <v>4660.9399999999996</v>
      </c>
      <c r="I26">
        <v>18</v>
      </c>
      <c r="J26" t="s">
        <v>39</v>
      </c>
      <c r="K26" t="s">
        <v>40</v>
      </c>
      <c r="L26" t="s">
        <v>48</v>
      </c>
      <c r="M26">
        <f>Table1[[#This Row],[Quantity]]*Table1[[#This Row],[Unit_Price]]</f>
        <v>46609.399999999994</v>
      </c>
      <c r="N26">
        <f>Table1[[#This Row],[Sales amount]]*Table1[[#This Row],[Discount]]/100</f>
        <v>8389.6919999999991</v>
      </c>
      <c r="O26">
        <f>Table1[[#This Row],[Sales amount]]-Table1[[#This Row],[Discount amount]]</f>
        <v>38219.707999999999</v>
      </c>
      <c r="P26" t="str">
        <f>TEXT(Table1[[#This Row],[Order_Date]],"mmm")</f>
        <v>Jun</v>
      </c>
      <c r="Q26">
        <f>YEAR(Table1[[#This Row],[Order_Date]])</f>
        <v>2023</v>
      </c>
    </row>
    <row r="27" spans="1:17" x14ac:dyDescent="0.3">
      <c r="A27">
        <v>1026</v>
      </c>
      <c r="B27" t="s">
        <v>71</v>
      </c>
      <c r="C27" t="s">
        <v>65</v>
      </c>
      <c r="D27" t="s">
        <v>43</v>
      </c>
      <c r="E27" t="s">
        <v>27</v>
      </c>
      <c r="F27" t="s">
        <v>38</v>
      </c>
      <c r="G27">
        <v>7</v>
      </c>
      <c r="H27">
        <v>4760.38</v>
      </c>
      <c r="I27">
        <v>19</v>
      </c>
      <c r="J27" t="s">
        <v>24</v>
      </c>
      <c r="K27" t="s">
        <v>40</v>
      </c>
      <c r="L27" t="s">
        <v>48</v>
      </c>
      <c r="M27">
        <f>Table1[[#This Row],[Quantity]]*Table1[[#This Row],[Unit_Price]]</f>
        <v>33322.660000000003</v>
      </c>
      <c r="N27">
        <f>Table1[[#This Row],[Sales amount]]*Table1[[#This Row],[Discount]]/100</f>
        <v>6331.3054000000002</v>
      </c>
      <c r="O27">
        <f>Table1[[#This Row],[Sales amount]]-Table1[[#This Row],[Discount amount]]</f>
        <v>26991.354600000002</v>
      </c>
      <c r="P27" t="str">
        <f>TEXT(Table1[[#This Row],[Order_Date]],"mmm")</f>
        <v>2023/15/01</v>
      </c>
      <c r="Q27" t="e">
        <f>YEAR(Table1[[#This Row],[Order_Date]])</f>
        <v>#VALUE!</v>
      </c>
    </row>
    <row r="28" spans="1:17" x14ac:dyDescent="0.3">
      <c r="A28">
        <v>1027</v>
      </c>
      <c r="B28" t="s">
        <v>36</v>
      </c>
      <c r="C28" t="s">
        <v>52</v>
      </c>
      <c r="D28" t="s">
        <v>33</v>
      </c>
      <c r="E28" t="s">
        <v>34</v>
      </c>
      <c r="F28" t="s">
        <v>62</v>
      </c>
      <c r="G28">
        <v>3</v>
      </c>
      <c r="H28">
        <v>2329.9699999999998</v>
      </c>
      <c r="I28">
        <v>13</v>
      </c>
      <c r="J28" t="s">
        <v>24</v>
      </c>
      <c r="K28" t="s">
        <v>40</v>
      </c>
      <c r="L28" t="s">
        <v>19</v>
      </c>
      <c r="M28">
        <f>Table1[[#This Row],[Quantity]]*Table1[[#This Row],[Unit_Price]]</f>
        <v>6989.91</v>
      </c>
      <c r="N28">
        <f>Table1[[#This Row],[Sales amount]]*Table1[[#This Row],[Discount]]/100</f>
        <v>908.68830000000003</v>
      </c>
      <c r="O28">
        <f>Table1[[#This Row],[Sales amount]]-Table1[[#This Row],[Discount amount]]</f>
        <v>6081.2217000000001</v>
      </c>
      <c r="P28" t="str">
        <f>TEXT(Table1[[#This Row],[Order_Date]],"mmm")</f>
        <v>Mar</v>
      </c>
      <c r="Q28">
        <f>YEAR(Table1[[#This Row],[Order_Date]])</f>
        <v>2023</v>
      </c>
    </row>
    <row r="29" spans="1:17" x14ac:dyDescent="0.3">
      <c r="A29">
        <v>1028</v>
      </c>
      <c r="B29" t="s">
        <v>72</v>
      </c>
      <c r="C29" t="s">
        <v>32</v>
      </c>
      <c r="D29" t="s">
        <v>47</v>
      </c>
      <c r="E29" t="s">
        <v>34</v>
      </c>
      <c r="F29" t="s">
        <v>44</v>
      </c>
      <c r="G29">
        <v>1</v>
      </c>
      <c r="H29">
        <v>1577.36</v>
      </c>
      <c r="I29">
        <v>17</v>
      </c>
      <c r="J29" t="s">
        <v>24</v>
      </c>
      <c r="K29" t="s">
        <v>40</v>
      </c>
      <c r="L29" t="s">
        <v>30</v>
      </c>
      <c r="M29">
        <f>Table1[[#This Row],[Quantity]]*Table1[[#This Row],[Unit_Price]]</f>
        <v>1577.36</v>
      </c>
      <c r="N29">
        <f>Table1[[#This Row],[Sales amount]]*Table1[[#This Row],[Discount]]/100</f>
        <v>268.15120000000002</v>
      </c>
      <c r="O29">
        <f>Table1[[#This Row],[Sales amount]]-Table1[[#This Row],[Discount amount]]</f>
        <v>1309.2087999999999</v>
      </c>
      <c r="P29" t="str">
        <f>TEXT(Table1[[#This Row],[Order_Date]],"mmm")</f>
        <v>Sep</v>
      </c>
      <c r="Q29">
        <f>YEAR(Table1[[#This Row],[Order_Date]])</f>
        <v>2023</v>
      </c>
    </row>
    <row r="30" spans="1:17" x14ac:dyDescent="0.3">
      <c r="A30">
        <v>1029</v>
      </c>
      <c r="B30" t="s">
        <v>73</v>
      </c>
      <c r="C30" t="s">
        <v>21</v>
      </c>
      <c r="D30" t="s">
        <v>22</v>
      </c>
      <c r="E30" t="s">
        <v>34</v>
      </c>
      <c r="F30" t="s">
        <v>16</v>
      </c>
      <c r="G30">
        <v>9</v>
      </c>
      <c r="H30">
        <v>1366.14</v>
      </c>
      <c r="I30">
        <v>24</v>
      </c>
      <c r="J30" t="s">
        <v>39</v>
      </c>
      <c r="K30" t="s">
        <v>40</v>
      </c>
      <c r="L30" t="s">
        <v>19</v>
      </c>
      <c r="M30">
        <f>Table1[[#This Row],[Quantity]]*Table1[[#This Row],[Unit_Price]]</f>
        <v>12295.26</v>
      </c>
      <c r="N30">
        <f>Table1[[#This Row],[Sales amount]]*Table1[[#This Row],[Discount]]/100</f>
        <v>2950.8624</v>
      </c>
      <c r="O30">
        <f>Table1[[#This Row],[Sales amount]]-Table1[[#This Row],[Discount amount]]</f>
        <v>9344.3976000000002</v>
      </c>
      <c r="P30" t="str">
        <f>TEXT(Table1[[#This Row],[Order_Date]],"mmm")</f>
        <v>Dec</v>
      </c>
      <c r="Q30">
        <f>YEAR(Table1[[#This Row],[Order_Date]])</f>
        <v>2023</v>
      </c>
    </row>
    <row r="31" spans="1:17" x14ac:dyDescent="0.3">
      <c r="A31">
        <v>1030</v>
      </c>
      <c r="B31" t="s">
        <v>74</v>
      </c>
      <c r="C31" t="s">
        <v>54</v>
      </c>
      <c r="D31" t="s">
        <v>43</v>
      </c>
      <c r="E31" t="s">
        <v>27</v>
      </c>
      <c r="F31" t="s">
        <v>38</v>
      </c>
      <c r="G31">
        <v>3</v>
      </c>
      <c r="H31">
        <v>4500.57</v>
      </c>
      <c r="I31">
        <v>20</v>
      </c>
      <c r="J31" t="s">
        <v>28</v>
      </c>
      <c r="K31" t="s">
        <v>29</v>
      </c>
      <c r="L31" t="s">
        <v>48</v>
      </c>
      <c r="M31">
        <f>Table1[[#This Row],[Quantity]]*Table1[[#This Row],[Unit_Price]]</f>
        <v>13501.71</v>
      </c>
      <c r="N31">
        <f>Table1[[#This Row],[Sales amount]]*Table1[[#This Row],[Discount]]/100</f>
        <v>2700.3419999999996</v>
      </c>
      <c r="O31">
        <f>Table1[[#This Row],[Sales amount]]-Table1[[#This Row],[Discount amount]]</f>
        <v>10801.367999999999</v>
      </c>
      <c r="P31" t="str">
        <f>TEXT(Table1[[#This Row],[Order_Date]],"mmm")</f>
        <v>Feb</v>
      </c>
      <c r="Q31">
        <f>YEAR(Table1[[#This Row],[Order_Date]])</f>
        <v>2023</v>
      </c>
    </row>
    <row r="32" spans="1:17" x14ac:dyDescent="0.3">
      <c r="A32">
        <v>1030</v>
      </c>
      <c r="B32" t="s">
        <v>74</v>
      </c>
      <c r="C32" t="s">
        <v>54</v>
      </c>
      <c r="D32" t="s">
        <v>43</v>
      </c>
      <c r="E32" t="s">
        <v>27</v>
      </c>
      <c r="F32" t="s">
        <v>38</v>
      </c>
      <c r="G32">
        <v>3</v>
      </c>
      <c r="H32">
        <v>4500.57</v>
      </c>
      <c r="I32">
        <v>20</v>
      </c>
      <c r="J32" t="s">
        <v>28</v>
      </c>
      <c r="K32" t="s">
        <v>29</v>
      </c>
      <c r="L32" t="s">
        <v>48</v>
      </c>
      <c r="M32">
        <f>Table1[[#This Row],[Quantity]]*Table1[[#This Row],[Unit_Price]]</f>
        <v>13501.71</v>
      </c>
      <c r="N32">
        <f>Table1[[#This Row],[Sales amount]]*Table1[[#This Row],[Discount]]/100</f>
        <v>2700.3419999999996</v>
      </c>
      <c r="O32">
        <f>Table1[[#This Row],[Sales amount]]-Table1[[#This Row],[Discount amount]]</f>
        <v>10801.367999999999</v>
      </c>
      <c r="P32" t="str">
        <f>TEXT(Table1[[#This Row],[Order_Date]],"mmm")</f>
        <v>Feb</v>
      </c>
      <c r="Q32">
        <f>YEAR(Table1[[#This Row],[Order_Date]])</f>
        <v>2023</v>
      </c>
    </row>
    <row r="33" spans="1:17" x14ac:dyDescent="0.3">
      <c r="A33">
        <v>1032</v>
      </c>
      <c r="B33" t="s">
        <v>75</v>
      </c>
      <c r="C33" t="s">
        <v>52</v>
      </c>
      <c r="D33" t="s">
        <v>47</v>
      </c>
      <c r="E33" t="s">
        <v>27</v>
      </c>
      <c r="F33" t="s">
        <v>44</v>
      </c>
      <c r="G33">
        <v>3</v>
      </c>
      <c r="H33">
        <v>4694.22</v>
      </c>
      <c r="I33">
        <v>19</v>
      </c>
      <c r="J33" t="s">
        <v>24</v>
      </c>
      <c r="K33" t="s">
        <v>29</v>
      </c>
      <c r="L33" t="s">
        <v>48</v>
      </c>
      <c r="M33">
        <f>Table1[[#This Row],[Quantity]]*Table1[[#This Row],[Unit_Price]]</f>
        <v>14082.66</v>
      </c>
      <c r="N33">
        <f>Table1[[#This Row],[Sales amount]]*Table1[[#This Row],[Discount]]/100</f>
        <v>2675.7053999999998</v>
      </c>
      <c r="O33">
        <f>Table1[[#This Row],[Sales amount]]-Table1[[#This Row],[Discount amount]]</f>
        <v>11406.954600000001</v>
      </c>
      <c r="P33" t="str">
        <f>TEXT(Table1[[#This Row],[Order_Date]],"mmm")</f>
        <v>Jan</v>
      </c>
      <c r="Q33">
        <f>YEAR(Table1[[#This Row],[Order_Date]])</f>
        <v>2023</v>
      </c>
    </row>
    <row r="34" spans="1:17" x14ac:dyDescent="0.3">
      <c r="A34">
        <v>1033</v>
      </c>
      <c r="B34" t="s">
        <v>76</v>
      </c>
      <c r="C34" t="s">
        <v>65</v>
      </c>
      <c r="D34" t="s">
        <v>43</v>
      </c>
      <c r="E34" t="s">
        <v>15</v>
      </c>
      <c r="F34" t="s">
        <v>35</v>
      </c>
      <c r="G34">
        <v>8</v>
      </c>
      <c r="H34">
        <v>1895.27</v>
      </c>
      <c r="I34">
        <v>12</v>
      </c>
      <c r="J34" t="s">
        <v>39</v>
      </c>
      <c r="K34" t="s">
        <v>29</v>
      </c>
      <c r="L34" t="s">
        <v>30</v>
      </c>
      <c r="M34">
        <f>Table1[[#This Row],[Quantity]]*Table1[[#This Row],[Unit_Price]]</f>
        <v>15162.16</v>
      </c>
      <c r="N34">
        <f>Table1[[#This Row],[Sales amount]]*Table1[[#This Row],[Discount]]/100</f>
        <v>1819.4591999999998</v>
      </c>
      <c r="O34">
        <f>Table1[[#This Row],[Sales amount]]-Table1[[#This Row],[Discount amount]]</f>
        <v>13342.700800000001</v>
      </c>
      <c r="P34" t="str">
        <f>TEXT(Table1[[#This Row],[Order_Date]],"mmm")</f>
        <v>Apr</v>
      </c>
      <c r="Q34">
        <f>YEAR(Table1[[#This Row],[Order_Date]])</f>
        <v>2023</v>
      </c>
    </row>
    <row r="35" spans="1:17" x14ac:dyDescent="0.3">
      <c r="A35">
        <v>1034</v>
      </c>
      <c r="B35" t="s">
        <v>77</v>
      </c>
      <c r="C35" t="s">
        <v>65</v>
      </c>
      <c r="D35" t="s">
        <v>22</v>
      </c>
      <c r="E35" t="s">
        <v>27</v>
      </c>
      <c r="F35" t="s">
        <v>23</v>
      </c>
      <c r="G35">
        <v>9</v>
      </c>
      <c r="H35">
        <v>2876.4</v>
      </c>
      <c r="I35">
        <v>26</v>
      </c>
      <c r="J35" t="s">
        <v>17</v>
      </c>
      <c r="K35" t="s">
        <v>40</v>
      </c>
      <c r="L35" t="s">
        <v>48</v>
      </c>
      <c r="M35">
        <f>Table1[[#This Row],[Quantity]]*Table1[[#This Row],[Unit_Price]]</f>
        <v>25887.600000000002</v>
      </c>
      <c r="N35">
        <f>Table1[[#This Row],[Sales amount]]*Table1[[#This Row],[Discount]]/100</f>
        <v>6730.7760000000007</v>
      </c>
      <c r="O35">
        <f>Table1[[#This Row],[Sales amount]]-Table1[[#This Row],[Discount amount]]</f>
        <v>19156.824000000001</v>
      </c>
      <c r="P35" t="str">
        <f>TEXT(Table1[[#This Row],[Order_Date]],"mmm")</f>
        <v>Nov</v>
      </c>
      <c r="Q35">
        <f>YEAR(Table1[[#This Row],[Order_Date]])</f>
        <v>2023</v>
      </c>
    </row>
    <row r="36" spans="1:17" x14ac:dyDescent="0.3">
      <c r="A36">
        <v>1035</v>
      </c>
      <c r="B36" t="s">
        <v>78</v>
      </c>
      <c r="C36" t="s">
        <v>46</v>
      </c>
      <c r="D36" t="s">
        <v>47</v>
      </c>
      <c r="E36" t="s">
        <v>27</v>
      </c>
      <c r="F36" t="s">
        <v>23</v>
      </c>
      <c r="G36">
        <v>10</v>
      </c>
      <c r="H36">
        <v>1190.81</v>
      </c>
      <c r="I36">
        <v>25</v>
      </c>
      <c r="J36" t="s">
        <v>17</v>
      </c>
      <c r="K36" t="s">
        <v>29</v>
      </c>
      <c r="L36" t="s">
        <v>19</v>
      </c>
      <c r="M36">
        <f>Table1[[#This Row],[Quantity]]*Table1[[#This Row],[Unit_Price]]</f>
        <v>11908.099999999999</v>
      </c>
      <c r="N36">
        <f>Table1[[#This Row],[Sales amount]]*Table1[[#This Row],[Discount]]/100</f>
        <v>2977.0249999999996</v>
      </c>
      <c r="O36">
        <f>Table1[[#This Row],[Sales amount]]-Table1[[#This Row],[Discount amount]]</f>
        <v>8931.0749999999989</v>
      </c>
      <c r="P36" t="str">
        <f>TEXT(Table1[[#This Row],[Order_Date]],"mmm")</f>
        <v>Dec</v>
      </c>
      <c r="Q36">
        <f>YEAR(Table1[[#This Row],[Order_Date]])</f>
        <v>2023</v>
      </c>
    </row>
    <row r="37" spans="1:17" x14ac:dyDescent="0.3">
      <c r="A37">
        <v>1036</v>
      </c>
      <c r="B37" t="s">
        <v>79</v>
      </c>
      <c r="C37" t="s">
        <v>54</v>
      </c>
      <c r="D37" t="s">
        <v>22</v>
      </c>
      <c r="E37" t="s">
        <v>15</v>
      </c>
      <c r="F37" t="s">
        <v>16</v>
      </c>
      <c r="G37">
        <v>9</v>
      </c>
      <c r="H37">
        <v>4719.7700000000004</v>
      </c>
      <c r="I37">
        <v>11</v>
      </c>
      <c r="J37" t="s">
        <v>24</v>
      </c>
      <c r="K37" t="s">
        <v>80</v>
      </c>
      <c r="L37" t="s">
        <v>48</v>
      </c>
      <c r="M37">
        <f>Table1[[#This Row],[Quantity]]*Table1[[#This Row],[Unit_Price]]</f>
        <v>42477.930000000008</v>
      </c>
      <c r="N37">
        <f>Table1[[#This Row],[Sales amount]]*Table1[[#This Row],[Discount]]/100</f>
        <v>4672.5723000000007</v>
      </c>
      <c r="O37">
        <f>Table1[[#This Row],[Sales amount]]-Table1[[#This Row],[Discount amount]]</f>
        <v>37805.357700000008</v>
      </c>
      <c r="P37" t="str">
        <f>TEXT(Table1[[#This Row],[Order_Date]],"mmm")</f>
        <v>Nov</v>
      </c>
      <c r="Q37">
        <f>YEAR(Table1[[#This Row],[Order_Date]])</f>
        <v>2023</v>
      </c>
    </row>
    <row r="38" spans="1:17" x14ac:dyDescent="0.3">
      <c r="A38">
        <v>1037</v>
      </c>
      <c r="B38" t="s">
        <v>81</v>
      </c>
      <c r="C38" t="s">
        <v>21</v>
      </c>
      <c r="D38" t="s">
        <v>22</v>
      </c>
      <c r="E38" t="s">
        <v>15</v>
      </c>
      <c r="F38" t="s">
        <v>23</v>
      </c>
      <c r="G38">
        <v>5</v>
      </c>
      <c r="H38">
        <v>3655.02</v>
      </c>
      <c r="I38">
        <v>11</v>
      </c>
      <c r="J38" t="s">
        <v>24</v>
      </c>
      <c r="K38" t="s">
        <v>40</v>
      </c>
      <c r="L38" t="s">
        <v>30</v>
      </c>
      <c r="M38">
        <f>Table1[[#This Row],[Quantity]]*Table1[[#This Row],[Unit_Price]]</f>
        <v>18275.099999999999</v>
      </c>
      <c r="N38">
        <f>Table1[[#This Row],[Sales amount]]*Table1[[#This Row],[Discount]]/100</f>
        <v>2010.2609999999997</v>
      </c>
      <c r="O38">
        <f>Table1[[#This Row],[Sales amount]]-Table1[[#This Row],[Discount amount]]</f>
        <v>16264.838999999998</v>
      </c>
      <c r="P38" t="str">
        <f>TEXT(Table1[[#This Row],[Order_Date]],"mmm")</f>
        <v>Jan</v>
      </c>
      <c r="Q38">
        <f>YEAR(Table1[[#This Row],[Order_Date]])</f>
        <v>2023</v>
      </c>
    </row>
    <row r="39" spans="1:17" x14ac:dyDescent="0.3">
      <c r="A39">
        <v>1038</v>
      </c>
      <c r="B39" t="s">
        <v>78</v>
      </c>
      <c r="C39" t="s">
        <v>46</v>
      </c>
      <c r="D39" t="s">
        <v>47</v>
      </c>
      <c r="E39" t="s">
        <v>15</v>
      </c>
      <c r="F39" t="s">
        <v>62</v>
      </c>
      <c r="G39">
        <v>5</v>
      </c>
      <c r="H39">
        <v>2771.53</v>
      </c>
      <c r="I39">
        <v>18</v>
      </c>
      <c r="J39" t="s">
        <v>24</v>
      </c>
      <c r="K39" t="s">
        <v>29</v>
      </c>
      <c r="L39" t="s">
        <v>48</v>
      </c>
      <c r="M39">
        <f>Table1[[#This Row],[Quantity]]*Table1[[#This Row],[Unit_Price]]</f>
        <v>13857.650000000001</v>
      </c>
      <c r="N39">
        <f>Table1[[#This Row],[Sales amount]]*Table1[[#This Row],[Discount]]/100</f>
        <v>2494.377</v>
      </c>
      <c r="O39">
        <f>Table1[[#This Row],[Sales amount]]-Table1[[#This Row],[Discount amount]]</f>
        <v>11363.273000000001</v>
      </c>
      <c r="P39" t="str">
        <f>TEXT(Table1[[#This Row],[Order_Date]],"mmm")</f>
        <v>Dec</v>
      </c>
      <c r="Q39">
        <f>YEAR(Table1[[#This Row],[Order_Date]])</f>
        <v>2023</v>
      </c>
    </row>
    <row r="40" spans="1:17" x14ac:dyDescent="0.3">
      <c r="A40">
        <v>1039</v>
      </c>
      <c r="B40" t="s">
        <v>82</v>
      </c>
      <c r="C40" t="s">
        <v>21</v>
      </c>
      <c r="D40" t="s">
        <v>43</v>
      </c>
      <c r="E40" t="s">
        <v>15</v>
      </c>
      <c r="F40" t="s">
        <v>44</v>
      </c>
      <c r="G40">
        <v>4</v>
      </c>
      <c r="H40">
        <v>4403.42</v>
      </c>
      <c r="I40">
        <v>28</v>
      </c>
      <c r="J40" t="s">
        <v>28</v>
      </c>
      <c r="K40" t="s">
        <v>18</v>
      </c>
      <c r="L40" t="s">
        <v>48</v>
      </c>
      <c r="M40">
        <f>Table1[[#This Row],[Quantity]]*Table1[[#This Row],[Unit_Price]]</f>
        <v>17613.68</v>
      </c>
      <c r="N40">
        <f>Table1[[#This Row],[Sales amount]]*Table1[[#This Row],[Discount]]/100</f>
        <v>4931.8304000000007</v>
      </c>
      <c r="O40">
        <f>Table1[[#This Row],[Sales amount]]-Table1[[#This Row],[Discount amount]]</f>
        <v>12681.8496</v>
      </c>
      <c r="P40" t="str">
        <f>TEXT(Table1[[#This Row],[Order_Date]],"mmm")</f>
        <v>Aug</v>
      </c>
      <c r="Q40">
        <f>YEAR(Table1[[#This Row],[Order_Date]])</f>
        <v>2023</v>
      </c>
    </row>
    <row r="41" spans="1:17" x14ac:dyDescent="0.3">
      <c r="A41">
        <v>1040</v>
      </c>
      <c r="B41" t="s">
        <v>83</v>
      </c>
      <c r="C41" t="s">
        <v>65</v>
      </c>
      <c r="D41" t="s">
        <v>43</v>
      </c>
      <c r="E41" t="s">
        <v>15</v>
      </c>
      <c r="F41" t="s">
        <v>23</v>
      </c>
      <c r="G41">
        <v>9</v>
      </c>
      <c r="H41">
        <v>3931.63</v>
      </c>
      <c r="I41">
        <v>5</v>
      </c>
      <c r="J41" t="s">
        <v>17</v>
      </c>
      <c r="K41" t="s">
        <v>40</v>
      </c>
      <c r="L41" t="s">
        <v>30</v>
      </c>
      <c r="M41">
        <f>Table1[[#This Row],[Quantity]]*Table1[[#This Row],[Unit_Price]]</f>
        <v>35384.67</v>
      </c>
      <c r="N41">
        <f>Table1[[#This Row],[Sales amount]]*Table1[[#This Row],[Discount]]/100</f>
        <v>1769.2334999999998</v>
      </c>
      <c r="O41">
        <f>Table1[[#This Row],[Sales amount]]-Table1[[#This Row],[Discount amount]]</f>
        <v>33615.436499999996</v>
      </c>
      <c r="P41" t="str">
        <f>TEXT(Table1[[#This Row],[Order_Date]],"mmm")</f>
        <v>Jun</v>
      </c>
      <c r="Q41">
        <f>YEAR(Table1[[#This Row],[Order_Date]])</f>
        <v>2023</v>
      </c>
    </row>
    <row r="42" spans="1:17" x14ac:dyDescent="0.3">
      <c r="A42">
        <v>1041</v>
      </c>
      <c r="B42" t="s">
        <v>84</v>
      </c>
      <c r="C42" t="s">
        <v>32</v>
      </c>
      <c r="D42" t="s">
        <v>33</v>
      </c>
      <c r="E42" t="s">
        <v>15</v>
      </c>
      <c r="F42" t="s">
        <v>38</v>
      </c>
      <c r="G42">
        <v>10</v>
      </c>
      <c r="H42">
        <v>981.82</v>
      </c>
      <c r="I42">
        <v>13</v>
      </c>
      <c r="J42" t="s">
        <v>24</v>
      </c>
      <c r="K42" t="s">
        <v>29</v>
      </c>
      <c r="L42" t="s">
        <v>85</v>
      </c>
      <c r="M42">
        <f>Table1[[#This Row],[Quantity]]*Table1[[#This Row],[Unit_Price]]</f>
        <v>9818.2000000000007</v>
      </c>
      <c r="N42">
        <f>Table1[[#This Row],[Sales amount]]*Table1[[#This Row],[Discount]]/100</f>
        <v>1276.366</v>
      </c>
      <c r="O42">
        <f>Table1[[#This Row],[Sales amount]]-Table1[[#This Row],[Discount amount]]</f>
        <v>8541.8340000000007</v>
      </c>
      <c r="P42" t="str">
        <f>TEXT(Table1[[#This Row],[Order_Date]],"mmm")</f>
        <v>Aug</v>
      </c>
      <c r="Q42">
        <f>YEAR(Table1[[#This Row],[Order_Date]])</f>
        <v>2023</v>
      </c>
    </row>
    <row r="43" spans="1:17" x14ac:dyDescent="0.3">
      <c r="A43">
        <v>1042</v>
      </c>
      <c r="B43" t="s">
        <v>86</v>
      </c>
      <c r="C43" t="s">
        <v>13</v>
      </c>
      <c r="D43" t="s">
        <v>43</v>
      </c>
      <c r="E43" t="s">
        <v>34</v>
      </c>
      <c r="F43" t="s">
        <v>44</v>
      </c>
      <c r="G43">
        <v>4</v>
      </c>
      <c r="H43">
        <v>4355.33</v>
      </c>
      <c r="I43">
        <v>14</v>
      </c>
      <c r="J43" t="s">
        <v>39</v>
      </c>
      <c r="K43" t="s">
        <v>29</v>
      </c>
      <c r="L43" t="s">
        <v>48</v>
      </c>
      <c r="M43">
        <f>Table1[[#This Row],[Quantity]]*Table1[[#This Row],[Unit_Price]]</f>
        <v>17421.32</v>
      </c>
      <c r="N43">
        <f>Table1[[#This Row],[Sales amount]]*Table1[[#This Row],[Discount]]/100</f>
        <v>2438.9847999999997</v>
      </c>
      <c r="O43">
        <f>Table1[[#This Row],[Sales amount]]-Table1[[#This Row],[Discount amount]]</f>
        <v>14982.3352</v>
      </c>
      <c r="P43" t="str">
        <f>TEXT(Table1[[#This Row],[Order_Date]],"mmm")</f>
        <v>Apr</v>
      </c>
      <c r="Q43">
        <f>YEAR(Table1[[#This Row],[Order_Date]])</f>
        <v>2023</v>
      </c>
    </row>
    <row r="44" spans="1:17" x14ac:dyDescent="0.3">
      <c r="A44">
        <v>1043</v>
      </c>
      <c r="B44" t="s">
        <v>83</v>
      </c>
      <c r="C44" t="s">
        <v>21</v>
      </c>
      <c r="D44" t="s">
        <v>14</v>
      </c>
      <c r="E44" t="s">
        <v>27</v>
      </c>
      <c r="F44" t="s">
        <v>62</v>
      </c>
      <c r="G44">
        <v>8</v>
      </c>
      <c r="H44">
        <v>175.04</v>
      </c>
      <c r="I44">
        <v>21</v>
      </c>
      <c r="J44" t="s">
        <v>17</v>
      </c>
      <c r="K44" t="s">
        <v>40</v>
      </c>
      <c r="L44" t="s">
        <v>19</v>
      </c>
      <c r="M44">
        <f>Table1[[#This Row],[Quantity]]*Table1[[#This Row],[Unit_Price]]</f>
        <v>1400.32</v>
      </c>
      <c r="N44">
        <f>Table1[[#This Row],[Sales amount]]*Table1[[#This Row],[Discount]]/100</f>
        <v>294.06719999999996</v>
      </c>
      <c r="O44">
        <f>Table1[[#This Row],[Sales amount]]-Table1[[#This Row],[Discount amount]]</f>
        <v>1106.2528</v>
      </c>
      <c r="P44" t="str">
        <f>TEXT(Table1[[#This Row],[Order_Date]],"mmm")</f>
        <v>Jun</v>
      </c>
      <c r="Q44">
        <f>YEAR(Table1[[#This Row],[Order_Date]])</f>
        <v>2023</v>
      </c>
    </row>
    <row r="45" spans="1:17" x14ac:dyDescent="0.3">
      <c r="A45">
        <v>1044</v>
      </c>
      <c r="B45" t="s">
        <v>87</v>
      </c>
      <c r="C45" t="s">
        <v>65</v>
      </c>
      <c r="D45" t="s">
        <v>43</v>
      </c>
      <c r="E45" t="s">
        <v>34</v>
      </c>
      <c r="F45" t="s">
        <v>35</v>
      </c>
      <c r="G45">
        <v>3</v>
      </c>
      <c r="H45">
        <v>1210.94</v>
      </c>
      <c r="I45">
        <v>25</v>
      </c>
      <c r="J45" t="s">
        <v>24</v>
      </c>
      <c r="K45" t="s">
        <v>40</v>
      </c>
      <c r="L45" t="s">
        <v>19</v>
      </c>
      <c r="M45">
        <f>Table1[[#This Row],[Quantity]]*Table1[[#This Row],[Unit_Price]]</f>
        <v>3632.82</v>
      </c>
      <c r="N45">
        <f>Table1[[#This Row],[Sales amount]]*Table1[[#This Row],[Discount]]/100</f>
        <v>908.20500000000004</v>
      </c>
      <c r="O45">
        <f>Table1[[#This Row],[Sales amount]]-Table1[[#This Row],[Discount amount]]</f>
        <v>2724.6150000000002</v>
      </c>
      <c r="P45" t="str">
        <f>TEXT(Table1[[#This Row],[Order_Date]],"mmm")</f>
        <v>Dec</v>
      </c>
      <c r="Q45">
        <f>YEAR(Table1[[#This Row],[Order_Date]])</f>
        <v>2023</v>
      </c>
    </row>
    <row r="46" spans="1:17" x14ac:dyDescent="0.3">
      <c r="A46">
        <v>1045</v>
      </c>
      <c r="B46" t="s">
        <v>88</v>
      </c>
      <c r="C46" t="s">
        <v>54</v>
      </c>
      <c r="D46" t="s">
        <v>14</v>
      </c>
      <c r="E46" t="s">
        <v>27</v>
      </c>
      <c r="F46" t="s">
        <v>16</v>
      </c>
      <c r="G46">
        <v>3</v>
      </c>
      <c r="H46">
        <v>2638.27</v>
      </c>
      <c r="I46">
        <v>14</v>
      </c>
      <c r="J46" t="s">
        <v>17</v>
      </c>
      <c r="K46" t="s">
        <v>18</v>
      </c>
      <c r="L46" t="s">
        <v>30</v>
      </c>
      <c r="M46">
        <f>Table1[[#This Row],[Quantity]]*Table1[[#This Row],[Unit_Price]]</f>
        <v>7914.8099999999995</v>
      </c>
      <c r="N46">
        <f>Table1[[#This Row],[Sales amount]]*Table1[[#This Row],[Discount]]/100</f>
        <v>1108.0734</v>
      </c>
      <c r="O46">
        <f>Table1[[#This Row],[Sales amount]]-Table1[[#This Row],[Discount amount]]</f>
        <v>6806.7365999999993</v>
      </c>
      <c r="P46" t="str">
        <f>TEXT(Table1[[#This Row],[Order_Date]],"mmm")</f>
        <v>May</v>
      </c>
      <c r="Q46">
        <f>YEAR(Table1[[#This Row],[Order_Date]])</f>
        <v>2023</v>
      </c>
    </row>
    <row r="47" spans="1:17" x14ac:dyDescent="0.3">
      <c r="A47">
        <v>1046</v>
      </c>
      <c r="B47" t="s">
        <v>86</v>
      </c>
      <c r="C47" t="s">
        <v>32</v>
      </c>
      <c r="D47" t="s">
        <v>22</v>
      </c>
      <c r="E47" t="s">
        <v>34</v>
      </c>
      <c r="F47" t="s">
        <v>38</v>
      </c>
      <c r="G47">
        <v>10</v>
      </c>
      <c r="H47">
        <v>4480.5</v>
      </c>
      <c r="I47">
        <v>25</v>
      </c>
      <c r="J47" t="s">
        <v>39</v>
      </c>
      <c r="K47" t="s">
        <v>29</v>
      </c>
      <c r="L47" t="s">
        <v>30</v>
      </c>
      <c r="M47">
        <f>Table1[[#This Row],[Quantity]]*Table1[[#This Row],[Unit_Price]]</f>
        <v>44805</v>
      </c>
      <c r="N47">
        <f>Table1[[#This Row],[Sales amount]]*Table1[[#This Row],[Discount]]/100</f>
        <v>11201.25</v>
      </c>
      <c r="O47">
        <f>Table1[[#This Row],[Sales amount]]-Table1[[#This Row],[Discount amount]]</f>
        <v>33603.75</v>
      </c>
      <c r="P47" t="str">
        <f>TEXT(Table1[[#This Row],[Order_Date]],"mmm")</f>
        <v>Apr</v>
      </c>
      <c r="Q47">
        <f>YEAR(Table1[[#This Row],[Order_Date]])</f>
        <v>2023</v>
      </c>
    </row>
    <row r="48" spans="1:17" x14ac:dyDescent="0.3">
      <c r="A48">
        <v>1047</v>
      </c>
      <c r="B48" t="s">
        <v>89</v>
      </c>
      <c r="C48" t="s">
        <v>54</v>
      </c>
      <c r="D48" t="s">
        <v>33</v>
      </c>
      <c r="E48" t="s">
        <v>15</v>
      </c>
      <c r="F48" t="s">
        <v>35</v>
      </c>
      <c r="G48">
        <v>1</v>
      </c>
      <c r="H48">
        <v>2496.4</v>
      </c>
      <c r="I48">
        <v>21</v>
      </c>
      <c r="J48" t="s">
        <v>24</v>
      </c>
      <c r="K48" t="s">
        <v>40</v>
      </c>
      <c r="L48" t="s">
        <v>48</v>
      </c>
      <c r="M48">
        <f>Table1[[#This Row],[Quantity]]*Table1[[#This Row],[Unit_Price]]</f>
        <v>2496.4</v>
      </c>
      <c r="N48">
        <f>Table1[[#This Row],[Sales amount]]*Table1[[#This Row],[Discount]]/100</f>
        <v>524.24400000000003</v>
      </c>
      <c r="O48">
        <f>Table1[[#This Row],[Sales amount]]-Table1[[#This Row],[Discount amount]]</f>
        <v>1972.1559999999999</v>
      </c>
      <c r="P48" t="str">
        <f>TEXT(Table1[[#This Row],[Order_Date]],"mmm")</f>
        <v>Feb</v>
      </c>
      <c r="Q48">
        <f>YEAR(Table1[[#This Row],[Order_Date]])</f>
        <v>2023</v>
      </c>
    </row>
    <row r="49" spans="1:17" x14ac:dyDescent="0.3">
      <c r="A49">
        <v>1048</v>
      </c>
      <c r="B49" t="s">
        <v>90</v>
      </c>
      <c r="C49" t="s">
        <v>32</v>
      </c>
      <c r="D49" t="s">
        <v>43</v>
      </c>
      <c r="E49" t="s">
        <v>15</v>
      </c>
      <c r="F49" t="s">
        <v>44</v>
      </c>
      <c r="G49">
        <v>2</v>
      </c>
      <c r="H49">
        <v>1143.98</v>
      </c>
      <c r="I49">
        <v>16</v>
      </c>
      <c r="J49" t="s">
        <v>17</v>
      </c>
      <c r="K49" t="s">
        <v>29</v>
      </c>
      <c r="L49" t="s">
        <v>48</v>
      </c>
      <c r="M49">
        <f>Table1[[#This Row],[Quantity]]*Table1[[#This Row],[Unit_Price]]</f>
        <v>2287.96</v>
      </c>
      <c r="N49">
        <f>Table1[[#This Row],[Sales amount]]*Table1[[#This Row],[Discount]]/100</f>
        <v>366.0736</v>
      </c>
      <c r="O49">
        <f>Table1[[#This Row],[Sales amount]]-Table1[[#This Row],[Discount amount]]</f>
        <v>1921.8864000000001</v>
      </c>
      <c r="P49" t="str">
        <f>TEXT(Table1[[#This Row],[Order_Date]],"mmm")</f>
        <v>Jun</v>
      </c>
      <c r="Q49">
        <f>YEAR(Table1[[#This Row],[Order_Date]])</f>
        <v>2023</v>
      </c>
    </row>
    <row r="50" spans="1:17" x14ac:dyDescent="0.3">
      <c r="A50">
        <v>1049</v>
      </c>
      <c r="B50" t="s">
        <v>91</v>
      </c>
      <c r="C50" t="s">
        <v>32</v>
      </c>
      <c r="D50" t="s">
        <v>43</v>
      </c>
      <c r="E50" t="s">
        <v>34</v>
      </c>
      <c r="F50" t="s">
        <v>38</v>
      </c>
      <c r="G50">
        <v>8</v>
      </c>
      <c r="H50">
        <v>2288.19</v>
      </c>
      <c r="I50">
        <v>7</v>
      </c>
      <c r="J50" t="s">
        <v>24</v>
      </c>
      <c r="K50" t="s">
        <v>29</v>
      </c>
      <c r="L50" t="s">
        <v>19</v>
      </c>
      <c r="M50">
        <f>Table1[[#This Row],[Quantity]]*Table1[[#This Row],[Unit_Price]]</f>
        <v>18305.52</v>
      </c>
      <c r="N50">
        <f>Table1[[#This Row],[Sales amount]]*Table1[[#This Row],[Discount]]/100</f>
        <v>1281.3864000000001</v>
      </c>
      <c r="O50">
        <f>Table1[[#This Row],[Sales amount]]-Table1[[#This Row],[Discount amount]]</f>
        <v>17024.133600000001</v>
      </c>
      <c r="P50" t="str">
        <f>TEXT(Table1[[#This Row],[Order_Date]],"mmm")</f>
        <v>Aug</v>
      </c>
      <c r="Q50">
        <f>YEAR(Table1[[#This Row],[Order_Date]])</f>
        <v>2023</v>
      </c>
    </row>
    <row r="51" spans="1:17" x14ac:dyDescent="0.3">
      <c r="A51">
        <v>1050</v>
      </c>
      <c r="B51" t="s">
        <v>92</v>
      </c>
      <c r="C51" t="s">
        <v>54</v>
      </c>
      <c r="D51" t="s">
        <v>47</v>
      </c>
      <c r="E51" t="s">
        <v>34</v>
      </c>
      <c r="F51" t="s">
        <v>38</v>
      </c>
      <c r="G51">
        <v>4</v>
      </c>
      <c r="H51">
        <v>1334.37</v>
      </c>
      <c r="I51">
        <v>4</v>
      </c>
      <c r="J51" t="s">
        <v>28</v>
      </c>
      <c r="K51" t="s">
        <v>29</v>
      </c>
      <c r="L51" t="s">
        <v>30</v>
      </c>
      <c r="M51">
        <f>Table1[[#This Row],[Quantity]]*Table1[[#This Row],[Unit_Price]]</f>
        <v>5337.48</v>
      </c>
      <c r="N51">
        <f>Table1[[#This Row],[Sales amount]]*Table1[[#This Row],[Discount]]/100</f>
        <v>213.49919999999997</v>
      </c>
      <c r="O51">
        <f>Table1[[#This Row],[Sales amount]]-Table1[[#This Row],[Discount amount]]</f>
        <v>5123.9807999999994</v>
      </c>
      <c r="P51" t="str">
        <f>TEXT(Table1[[#This Row],[Order_Date]],"mmm")</f>
        <v>Sep</v>
      </c>
      <c r="Q51">
        <f>YEAR(Table1[[#This Row],[Order_Date]])</f>
        <v>2023</v>
      </c>
    </row>
    <row r="52" spans="1:17" x14ac:dyDescent="0.3">
      <c r="A52">
        <v>1051</v>
      </c>
      <c r="B52" t="s">
        <v>93</v>
      </c>
      <c r="C52" t="s">
        <v>32</v>
      </c>
      <c r="D52" t="s">
        <v>47</v>
      </c>
      <c r="E52" t="s">
        <v>34</v>
      </c>
      <c r="F52" t="s">
        <v>62</v>
      </c>
      <c r="G52">
        <v>-3</v>
      </c>
      <c r="H52">
        <v>3625.5</v>
      </c>
      <c r="I52">
        <v>15</v>
      </c>
      <c r="J52" t="s">
        <v>17</v>
      </c>
      <c r="K52" t="s">
        <v>40</v>
      </c>
      <c r="L52" t="s">
        <v>48</v>
      </c>
      <c r="M52">
        <f>Table1[[#This Row],[Quantity]]*Table1[[#This Row],[Unit_Price]]</f>
        <v>-10876.5</v>
      </c>
      <c r="N52">
        <f>Table1[[#This Row],[Sales amount]]*Table1[[#This Row],[Discount]]/100</f>
        <v>-1631.4749999999999</v>
      </c>
      <c r="O52">
        <f>Table1[[#This Row],[Sales amount]]-Table1[[#This Row],[Discount amount]]</f>
        <v>-9245.0249999999996</v>
      </c>
      <c r="P52" t="str">
        <f>TEXT(Table1[[#This Row],[Order_Date]],"mmm")</f>
        <v>Mar</v>
      </c>
      <c r="Q52">
        <f>YEAR(Table1[[#This Row],[Order_Date]])</f>
        <v>2023</v>
      </c>
    </row>
    <row r="53" spans="1:17" x14ac:dyDescent="0.3">
      <c r="A53">
        <v>1052</v>
      </c>
      <c r="B53" t="s">
        <v>94</v>
      </c>
      <c r="C53" t="s">
        <v>46</v>
      </c>
      <c r="D53" t="s">
        <v>33</v>
      </c>
      <c r="E53" t="s">
        <v>34</v>
      </c>
      <c r="F53" t="s">
        <v>35</v>
      </c>
      <c r="G53">
        <v>2</v>
      </c>
      <c r="H53">
        <v>2199.11</v>
      </c>
      <c r="I53">
        <v>17</v>
      </c>
      <c r="J53" t="s">
        <v>17</v>
      </c>
      <c r="K53" t="s">
        <v>29</v>
      </c>
      <c r="L53" t="s">
        <v>30</v>
      </c>
      <c r="M53">
        <f>Table1[[#This Row],[Quantity]]*Table1[[#This Row],[Unit_Price]]</f>
        <v>4398.22</v>
      </c>
      <c r="N53">
        <f>Table1[[#This Row],[Sales amount]]*Table1[[#This Row],[Discount]]/100</f>
        <v>747.69740000000002</v>
      </c>
      <c r="O53">
        <f>Table1[[#This Row],[Sales amount]]-Table1[[#This Row],[Discount amount]]</f>
        <v>3650.5226000000002</v>
      </c>
      <c r="P53" t="str">
        <f>TEXT(Table1[[#This Row],[Order_Date]],"mmm")</f>
        <v>Aug</v>
      </c>
      <c r="Q53">
        <f>YEAR(Table1[[#This Row],[Order_Date]])</f>
        <v>2023</v>
      </c>
    </row>
    <row r="54" spans="1:17" x14ac:dyDescent="0.3">
      <c r="A54">
        <v>1053</v>
      </c>
      <c r="B54" t="s">
        <v>95</v>
      </c>
      <c r="C54" t="s">
        <v>32</v>
      </c>
      <c r="D54" t="s">
        <v>22</v>
      </c>
      <c r="E54" t="s">
        <v>34</v>
      </c>
      <c r="F54" t="s">
        <v>44</v>
      </c>
      <c r="G54">
        <v>1</v>
      </c>
      <c r="H54">
        <v>1868.16</v>
      </c>
      <c r="I54">
        <v>8</v>
      </c>
      <c r="J54" t="s">
        <v>17</v>
      </c>
      <c r="K54" t="s">
        <v>18</v>
      </c>
      <c r="L54" t="s">
        <v>48</v>
      </c>
      <c r="M54">
        <f>Table1[[#This Row],[Quantity]]*Table1[[#This Row],[Unit_Price]]</f>
        <v>1868.16</v>
      </c>
      <c r="N54">
        <f>Table1[[#This Row],[Sales amount]]*Table1[[#This Row],[Discount]]/100</f>
        <v>149.4528</v>
      </c>
      <c r="O54">
        <f>Table1[[#This Row],[Sales amount]]-Table1[[#This Row],[Discount amount]]</f>
        <v>1718.7072000000001</v>
      </c>
      <c r="P54" t="str">
        <f>TEXT(Table1[[#This Row],[Order_Date]],"mmm")</f>
        <v>Apr</v>
      </c>
      <c r="Q54">
        <f>YEAR(Table1[[#This Row],[Order_Date]])</f>
        <v>2023</v>
      </c>
    </row>
    <row r="55" spans="1:17" x14ac:dyDescent="0.3">
      <c r="A55">
        <v>1054</v>
      </c>
      <c r="B55" t="s">
        <v>96</v>
      </c>
      <c r="C55" t="s">
        <v>32</v>
      </c>
      <c r="D55" t="s">
        <v>43</v>
      </c>
      <c r="E55" t="s">
        <v>15</v>
      </c>
      <c r="F55" t="s">
        <v>23</v>
      </c>
      <c r="G55">
        <v>5</v>
      </c>
      <c r="H55">
        <v>3178.88</v>
      </c>
      <c r="I55">
        <v>3</v>
      </c>
      <c r="J55" t="s">
        <v>28</v>
      </c>
      <c r="K55" t="s">
        <v>40</v>
      </c>
      <c r="L55" t="s">
        <v>48</v>
      </c>
      <c r="M55">
        <f>Table1[[#This Row],[Quantity]]*Table1[[#This Row],[Unit_Price]]</f>
        <v>15894.400000000001</v>
      </c>
      <c r="N55">
        <f>Table1[[#This Row],[Sales amount]]*Table1[[#This Row],[Discount]]/100</f>
        <v>476.83200000000005</v>
      </c>
      <c r="O55">
        <f>Table1[[#This Row],[Sales amount]]-Table1[[#This Row],[Discount amount]]</f>
        <v>15417.568000000001</v>
      </c>
      <c r="P55" t="str">
        <f>TEXT(Table1[[#This Row],[Order_Date]],"mmm")</f>
        <v>Jul</v>
      </c>
      <c r="Q55">
        <f>YEAR(Table1[[#This Row],[Order_Date]])</f>
        <v>2023</v>
      </c>
    </row>
    <row r="56" spans="1:17" x14ac:dyDescent="0.3">
      <c r="A56">
        <v>1055</v>
      </c>
      <c r="B56" t="s">
        <v>97</v>
      </c>
      <c r="C56" t="s">
        <v>65</v>
      </c>
      <c r="D56" t="s">
        <v>22</v>
      </c>
      <c r="E56" t="s">
        <v>15</v>
      </c>
      <c r="F56" t="s">
        <v>23</v>
      </c>
      <c r="G56">
        <v>10</v>
      </c>
      <c r="H56">
        <v>2951.14</v>
      </c>
      <c r="I56">
        <v>17</v>
      </c>
      <c r="J56" t="s">
        <v>24</v>
      </c>
      <c r="K56" t="s">
        <v>40</v>
      </c>
      <c r="L56" t="s">
        <v>19</v>
      </c>
      <c r="M56">
        <f>Table1[[#This Row],[Quantity]]*Table1[[#This Row],[Unit_Price]]</f>
        <v>29511.399999999998</v>
      </c>
      <c r="N56">
        <f>Table1[[#This Row],[Sales amount]]*Table1[[#This Row],[Discount]]/100</f>
        <v>5016.9380000000001</v>
      </c>
      <c r="O56">
        <f>Table1[[#This Row],[Sales amount]]-Table1[[#This Row],[Discount amount]]</f>
        <v>24494.462</v>
      </c>
      <c r="P56" t="str">
        <f>TEXT(Table1[[#This Row],[Order_Date]],"mmm")</f>
        <v>Mar</v>
      </c>
      <c r="Q56">
        <f>YEAR(Table1[[#This Row],[Order_Date]])</f>
        <v>2023</v>
      </c>
    </row>
    <row r="57" spans="1:17" x14ac:dyDescent="0.3">
      <c r="A57">
        <v>1056</v>
      </c>
      <c r="B57" t="s">
        <v>98</v>
      </c>
      <c r="C57" t="s">
        <v>52</v>
      </c>
      <c r="D57" t="s">
        <v>47</v>
      </c>
      <c r="E57" t="s">
        <v>34</v>
      </c>
      <c r="F57" t="s">
        <v>62</v>
      </c>
      <c r="G57">
        <v>7</v>
      </c>
      <c r="H57">
        <v>3984.12</v>
      </c>
      <c r="I57">
        <v>4</v>
      </c>
      <c r="J57" t="s">
        <v>28</v>
      </c>
      <c r="K57" t="s">
        <v>18</v>
      </c>
      <c r="L57" t="s">
        <v>30</v>
      </c>
      <c r="M57">
        <f>Table1[[#This Row],[Quantity]]*Table1[[#This Row],[Unit_Price]]</f>
        <v>27888.84</v>
      </c>
      <c r="N57">
        <f>Table1[[#This Row],[Sales amount]]*Table1[[#This Row],[Discount]]/100</f>
        <v>1115.5536</v>
      </c>
      <c r="O57">
        <f>Table1[[#This Row],[Sales amount]]-Table1[[#This Row],[Discount amount]]</f>
        <v>26773.286400000001</v>
      </c>
      <c r="P57" t="str">
        <f>TEXT(Table1[[#This Row],[Order_Date]],"mmm")</f>
        <v>Jul</v>
      </c>
      <c r="Q57">
        <f>YEAR(Table1[[#This Row],[Order_Date]])</f>
        <v>2023</v>
      </c>
    </row>
    <row r="58" spans="1:17" x14ac:dyDescent="0.3">
      <c r="A58">
        <v>1057</v>
      </c>
      <c r="B58" t="s">
        <v>99</v>
      </c>
      <c r="C58" t="s">
        <v>52</v>
      </c>
      <c r="D58" t="s">
        <v>43</v>
      </c>
      <c r="E58" t="s">
        <v>15</v>
      </c>
      <c r="F58" t="s">
        <v>35</v>
      </c>
      <c r="G58">
        <v>7</v>
      </c>
      <c r="H58">
        <v>2052.04</v>
      </c>
      <c r="I58">
        <v>9</v>
      </c>
      <c r="J58" t="s">
        <v>17</v>
      </c>
      <c r="K58" t="s">
        <v>18</v>
      </c>
      <c r="L58" t="s">
        <v>48</v>
      </c>
      <c r="M58">
        <f>Table1[[#This Row],[Quantity]]*Table1[[#This Row],[Unit_Price]]</f>
        <v>14364.279999999999</v>
      </c>
      <c r="N58">
        <f>Table1[[#This Row],[Sales amount]]*Table1[[#This Row],[Discount]]/100</f>
        <v>1292.7851999999998</v>
      </c>
      <c r="O58">
        <f>Table1[[#This Row],[Sales amount]]-Table1[[#This Row],[Discount amount]]</f>
        <v>13071.494799999999</v>
      </c>
      <c r="P58" t="str">
        <f>TEXT(Table1[[#This Row],[Order_Date]],"mmm")</f>
        <v>Jun</v>
      </c>
      <c r="Q58">
        <f>YEAR(Table1[[#This Row],[Order_Date]])</f>
        <v>2023</v>
      </c>
    </row>
    <row r="59" spans="1:17" x14ac:dyDescent="0.3">
      <c r="A59">
        <v>1058</v>
      </c>
      <c r="B59" t="s">
        <v>100</v>
      </c>
      <c r="C59" t="s">
        <v>32</v>
      </c>
      <c r="D59" t="s">
        <v>14</v>
      </c>
      <c r="E59" t="s">
        <v>27</v>
      </c>
      <c r="F59" t="s">
        <v>35</v>
      </c>
      <c r="G59">
        <v>3</v>
      </c>
      <c r="H59">
        <v>1928.09</v>
      </c>
      <c r="I59">
        <v>13</v>
      </c>
      <c r="J59" t="s">
        <v>39</v>
      </c>
      <c r="K59" t="s">
        <v>18</v>
      </c>
      <c r="L59" t="s">
        <v>30</v>
      </c>
      <c r="M59">
        <f>Table1[[#This Row],[Quantity]]*Table1[[#This Row],[Unit_Price]]</f>
        <v>5784.2699999999995</v>
      </c>
      <c r="N59">
        <f>Table1[[#This Row],[Sales amount]]*Table1[[#This Row],[Discount]]/100</f>
        <v>751.9550999999999</v>
      </c>
      <c r="O59">
        <f>Table1[[#This Row],[Sales amount]]-Table1[[#This Row],[Discount amount]]</f>
        <v>5032.3148999999994</v>
      </c>
      <c r="P59" t="str">
        <f>TEXT(Table1[[#This Row],[Order_Date]],"mmm")</f>
        <v>Jan</v>
      </c>
      <c r="Q59">
        <f>YEAR(Table1[[#This Row],[Order_Date]])</f>
        <v>2023</v>
      </c>
    </row>
    <row r="60" spans="1:17" x14ac:dyDescent="0.3">
      <c r="A60">
        <v>1059</v>
      </c>
      <c r="B60" t="s">
        <v>101</v>
      </c>
      <c r="C60" t="s">
        <v>42</v>
      </c>
      <c r="D60" t="s">
        <v>47</v>
      </c>
      <c r="E60" t="s">
        <v>34</v>
      </c>
      <c r="F60" t="s">
        <v>62</v>
      </c>
      <c r="G60">
        <v>9</v>
      </c>
      <c r="H60">
        <v>4541.4399999999996</v>
      </c>
      <c r="I60">
        <v>23</v>
      </c>
      <c r="J60" t="s">
        <v>17</v>
      </c>
      <c r="K60" t="s">
        <v>18</v>
      </c>
      <c r="L60" t="s">
        <v>19</v>
      </c>
      <c r="M60">
        <f>Table1[[#This Row],[Quantity]]*Table1[[#This Row],[Unit_Price]]</f>
        <v>40872.959999999999</v>
      </c>
      <c r="N60">
        <f>Table1[[#This Row],[Sales amount]]*Table1[[#This Row],[Discount]]/100</f>
        <v>9400.7808000000005</v>
      </c>
      <c r="O60">
        <f>Table1[[#This Row],[Sales amount]]-Table1[[#This Row],[Discount amount]]</f>
        <v>31472.179199999999</v>
      </c>
      <c r="P60" t="str">
        <f>TEXT(Table1[[#This Row],[Order_Date]],"mmm")</f>
        <v>Aug</v>
      </c>
      <c r="Q60">
        <f>YEAR(Table1[[#This Row],[Order_Date]])</f>
        <v>2023</v>
      </c>
    </row>
    <row r="61" spans="1:17" x14ac:dyDescent="0.3">
      <c r="A61">
        <v>1060</v>
      </c>
      <c r="B61" t="s">
        <v>94</v>
      </c>
      <c r="C61" t="s">
        <v>46</v>
      </c>
      <c r="D61" t="s">
        <v>14</v>
      </c>
      <c r="E61" t="s">
        <v>15</v>
      </c>
      <c r="F61" t="s">
        <v>35</v>
      </c>
      <c r="G61">
        <v>10</v>
      </c>
      <c r="H61">
        <v>4000.08</v>
      </c>
      <c r="I61">
        <v>22</v>
      </c>
      <c r="J61" t="s">
        <v>28</v>
      </c>
      <c r="K61" t="s">
        <v>18</v>
      </c>
      <c r="L61" t="s">
        <v>30</v>
      </c>
      <c r="M61">
        <f>Table1[[#This Row],[Quantity]]*Table1[[#This Row],[Unit_Price]]</f>
        <v>40000.800000000003</v>
      </c>
      <c r="N61">
        <f>Table1[[#This Row],[Sales amount]]*Table1[[#This Row],[Discount]]/100</f>
        <v>8800.1760000000013</v>
      </c>
      <c r="O61">
        <f>Table1[[#This Row],[Sales amount]]-Table1[[#This Row],[Discount amount]]</f>
        <v>31200.624000000003</v>
      </c>
      <c r="P61" t="str">
        <f>TEXT(Table1[[#This Row],[Order_Date]],"mmm")</f>
        <v>Aug</v>
      </c>
      <c r="Q61">
        <f>YEAR(Table1[[#This Row],[Order_Date]])</f>
        <v>2023</v>
      </c>
    </row>
    <row r="62" spans="1:17" x14ac:dyDescent="0.3">
      <c r="A62">
        <v>1061</v>
      </c>
      <c r="B62" t="s">
        <v>102</v>
      </c>
      <c r="C62" t="s">
        <v>52</v>
      </c>
      <c r="D62" t="s">
        <v>14</v>
      </c>
      <c r="E62" t="s">
        <v>34</v>
      </c>
      <c r="F62" t="s">
        <v>62</v>
      </c>
      <c r="G62">
        <v>1</v>
      </c>
      <c r="H62">
        <v>1250.5</v>
      </c>
      <c r="I62">
        <v>16</v>
      </c>
      <c r="J62" t="s">
        <v>28</v>
      </c>
      <c r="K62" t="s">
        <v>40</v>
      </c>
      <c r="L62" t="s">
        <v>48</v>
      </c>
      <c r="M62">
        <f>Table1[[#This Row],[Quantity]]*Table1[[#This Row],[Unit_Price]]</f>
        <v>1250.5</v>
      </c>
      <c r="N62">
        <f>Table1[[#This Row],[Sales amount]]*Table1[[#This Row],[Discount]]/100</f>
        <v>200.08</v>
      </c>
      <c r="O62">
        <f>Table1[[#This Row],[Sales amount]]-Table1[[#This Row],[Discount amount]]</f>
        <v>1050.42</v>
      </c>
      <c r="P62" t="str">
        <f>TEXT(Table1[[#This Row],[Order_Date]],"mmm")</f>
        <v>Nov</v>
      </c>
      <c r="Q62">
        <f>YEAR(Table1[[#This Row],[Order_Date]])</f>
        <v>2023</v>
      </c>
    </row>
    <row r="63" spans="1:17" x14ac:dyDescent="0.3">
      <c r="A63">
        <v>1062</v>
      </c>
      <c r="B63" t="s">
        <v>104</v>
      </c>
      <c r="C63" t="s">
        <v>65</v>
      </c>
      <c r="D63" t="s">
        <v>22</v>
      </c>
      <c r="E63" t="s">
        <v>15</v>
      </c>
      <c r="F63" t="s">
        <v>38</v>
      </c>
      <c r="G63">
        <v>7</v>
      </c>
      <c r="H63">
        <v>577.53</v>
      </c>
      <c r="I63">
        <v>15</v>
      </c>
      <c r="J63" t="s">
        <v>39</v>
      </c>
      <c r="K63" t="s">
        <v>18</v>
      </c>
      <c r="L63" t="s">
        <v>19</v>
      </c>
      <c r="M63">
        <f>Table1[[#This Row],[Quantity]]*Table1[[#This Row],[Unit_Price]]</f>
        <v>4042.71</v>
      </c>
      <c r="N63">
        <f>Table1[[#This Row],[Sales amount]]*Table1[[#This Row],[Discount]]/100</f>
        <v>606.40650000000005</v>
      </c>
      <c r="O63">
        <f>Table1[[#This Row],[Sales amount]]-Table1[[#This Row],[Discount amount]]</f>
        <v>3436.3035</v>
      </c>
      <c r="P63" t="str">
        <f>TEXT(Table1[[#This Row],[Order_Date]],"mmm")</f>
        <v>Oct</v>
      </c>
      <c r="Q63">
        <f>YEAR(Table1[[#This Row],[Order_Date]])</f>
        <v>2023</v>
      </c>
    </row>
    <row r="64" spans="1:17" x14ac:dyDescent="0.3">
      <c r="A64">
        <v>1063</v>
      </c>
      <c r="B64" t="s">
        <v>105</v>
      </c>
      <c r="C64" t="s">
        <v>21</v>
      </c>
      <c r="D64" t="s">
        <v>47</v>
      </c>
      <c r="E64" t="s">
        <v>15</v>
      </c>
      <c r="F64" t="s">
        <v>62</v>
      </c>
      <c r="G64">
        <v>5</v>
      </c>
      <c r="H64">
        <v>1141.8</v>
      </c>
      <c r="I64">
        <v>9</v>
      </c>
      <c r="J64" t="s">
        <v>24</v>
      </c>
      <c r="K64" t="s">
        <v>18</v>
      </c>
      <c r="L64" t="s">
        <v>48</v>
      </c>
      <c r="M64">
        <f>Table1[[#This Row],[Quantity]]*Table1[[#This Row],[Unit_Price]]</f>
        <v>5709</v>
      </c>
      <c r="N64">
        <f>Table1[[#This Row],[Sales amount]]*Table1[[#This Row],[Discount]]/100</f>
        <v>513.80999999999995</v>
      </c>
      <c r="O64">
        <f>Table1[[#This Row],[Sales amount]]-Table1[[#This Row],[Discount amount]]</f>
        <v>5195.1900000000005</v>
      </c>
      <c r="P64" t="str">
        <f>TEXT(Table1[[#This Row],[Order_Date]],"mmm")</f>
        <v>Jun</v>
      </c>
      <c r="Q64">
        <f>YEAR(Table1[[#This Row],[Order_Date]])</f>
        <v>2023</v>
      </c>
    </row>
    <row r="65" spans="1:17" x14ac:dyDescent="0.3">
      <c r="A65">
        <v>1064</v>
      </c>
      <c r="B65" t="s">
        <v>106</v>
      </c>
      <c r="C65" t="s">
        <v>32</v>
      </c>
      <c r="D65" t="s">
        <v>47</v>
      </c>
      <c r="E65" t="s">
        <v>34</v>
      </c>
      <c r="F65" t="s">
        <v>23</v>
      </c>
      <c r="G65">
        <v>2</v>
      </c>
      <c r="H65">
        <v>4428.78</v>
      </c>
      <c r="I65">
        <v>17</v>
      </c>
      <c r="J65" t="s">
        <v>39</v>
      </c>
      <c r="K65" t="s">
        <v>40</v>
      </c>
      <c r="L65" t="s">
        <v>48</v>
      </c>
      <c r="M65">
        <f>Table1[[#This Row],[Quantity]]*Table1[[#This Row],[Unit_Price]]</f>
        <v>8857.56</v>
      </c>
      <c r="N65">
        <f>Table1[[#This Row],[Sales amount]]*Table1[[#This Row],[Discount]]/100</f>
        <v>1505.7851999999998</v>
      </c>
      <c r="O65">
        <f>Table1[[#This Row],[Sales amount]]-Table1[[#This Row],[Discount amount]]</f>
        <v>7351.7747999999992</v>
      </c>
      <c r="P65" t="str">
        <f>TEXT(Table1[[#This Row],[Order_Date]],"mmm")</f>
        <v>Jul</v>
      </c>
      <c r="Q65">
        <f>YEAR(Table1[[#This Row],[Order_Date]])</f>
        <v>2023</v>
      </c>
    </row>
    <row r="66" spans="1:17" x14ac:dyDescent="0.3">
      <c r="A66">
        <v>1065</v>
      </c>
      <c r="B66" t="s">
        <v>107</v>
      </c>
      <c r="C66" t="s">
        <v>46</v>
      </c>
      <c r="D66" t="s">
        <v>22</v>
      </c>
      <c r="E66" t="s">
        <v>27</v>
      </c>
      <c r="F66" t="s">
        <v>44</v>
      </c>
      <c r="G66">
        <v>4</v>
      </c>
      <c r="H66">
        <v>4307.3500000000004</v>
      </c>
      <c r="I66">
        <v>30</v>
      </c>
      <c r="J66" t="s">
        <v>28</v>
      </c>
      <c r="K66" t="s">
        <v>29</v>
      </c>
      <c r="L66" t="s">
        <v>19</v>
      </c>
      <c r="M66">
        <f>Table1[[#This Row],[Quantity]]*Table1[[#This Row],[Unit_Price]]</f>
        <v>17229.400000000001</v>
      </c>
      <c r="N66">
        <f>Table1[[#This Row],[Sales amount]]*Table1[[#This Row],[Discount]]/100</f>
        <v>5168.8200000000006</v>
      </c>
      <c r="O66">
        <f>Table1[[#This Row],[Sales amount]]-Table1[[#This Row],[Discount amount]]</f>
        <v>12060.580000000002</v>
      </c>
      <c r="P66" t="str">
        <f>TEXT(Table1[[#This Row],[Order_Date]],"mmm")</f>
        <v>Dec</v>
      </c>
      <c r="Q66">
        <f>YEAR(Table1[[#This Row],[Order_Date]])</f>
        <v>2023</v>
      </c>
    </row>
    <row r="67" spans="1:17" x14ac:dyDescent="0.3">
      <c r="A67">
        <v>1066</v>
      </c>
      <c r="B67" t="s">
        <v>108</v>
      </c>
      <c r="C67" t="s">
        <v>32</v>
      </c>
      <c r="D67" t="s">
        <v>47</v>
      </c>
      <c r="E67" t="s">
        <v>15</v>
      </c>
      <c r="F67" t="s">
        <v>16</v>
      </c>
      <c r="G67">
        <v>9</v>
      </c>
      <c r="H67">
        <v>3094.86</v>
      </c>
      <c r="I67">
        <v>28</v>
      </c>
      <c r="J67" t="s">
        <v>24</v>
      </c>
      <c r="K67" t="s">
        <v>40</v>
      </c>
      <c r="L67" t="s">
        <v>30</v>
      </c>
      <c r="M67">
        <f>Table1[[#This Row],[Quantity]]*Table1[[#This Row],[Unit_Price]]</f>
        <v>27853.74</v>
      </c>
      <c r="N67">
        <f>Table1[[#This Row],[Sales amount]]*Table1[[#This Row],[Discount]]/100</f>
        <v>7799.0472000000009</v>
      </c>
      <c r="O67">
        <f>Table1[[#This Row],[Sales amount]]-Table1[[#This Row],[Discount amount]]</f>
        <v>20054.692800000001</v>
      </c>
      <c r="P67" t="str">
        <f>TEXT(Table1[[#This Row],[Order_Date]],"mmm")</f>
        <v>Apr</v>
      </c>
      <c r="Q67">
        <f>YEAR(Table1[[#This Row],[Order_Date]])</f>
        <v>2023</v>
      </c>
    </row>
    <row r="68" spans="1:17" x14ac:dyDescent="0.3">
      <c r="A68">
        <v>1067</v>
      </c>
      <c r="B68" t="s">
        <v>109</v>
      </c>
      <c r="C68" t="s">
        <v>13</v>
      </c>
      <c r="D68" t="s">
        <v>14</v>
      </c>
      <c r="E68" t="s">
        <v>15</v>
      </c>
      <c r="F68" t="s">
        <v>44</v>
      </c>
      <c r="G68">
        <v>5</v>
      </c>
      <c r="H68">
        <v>3978.25</v>
      </c>
      <c r="I68">
        <v>4</v>
      </c>
      <c r="J68" t="s">
        <v>24</v>
      </c>
      <c r="K68" t="s">
        <v>29</v>
      </c>
      <c r="L68" t="s">
        <v>48</v>
      </c>
      <c r="M68">
        <f>Table1[[#This Row],[Quantity]]*Table1[[#This Row],[Unit_Price]]</f>
        <v>19891.25</v>
      </c>
      <c r="N68">
        <f>Table1[[#This Row],[Sales amount]]*Table1[[#This Row],[Discount]]/100</f>
        <v>795.65</v>
      </c>
      <c r="O68">
        <f>Table1[[#This Row],[Sales amount]]-Table1[[#This Row],[Discount amount]]</f>
        <v>19095.599999999999</v>
      </c>
      <c r="P68" t="str">
        <f>TEXT(Table1[[#This Row],[Order_Date]],"mmm")</f>
        <v>Jun</v>
      </c>
      <c r="Q68">
        <f>YEAR(Table1[[#This Row],[Order_Date]])</f>
        <v>2023</v>
      </c>
    </row>
    <row r="69" spans="1:17" x14ac:dyDescent="0.3">
      <c r="A69">
        <v>1068</v>
      </c>
      <c r="B69" t="s">
        <v>110</v>
      </c>
      <c r="C69" t="s">
        <v>65</v>
      </c>
      <c r="D69" t="s">
        <v>14</v>
      </c>
      <c r="E69" t="s">
        <v>15</v>
      </c>
      <c r="F69" t="s">
        <v>38</v>
      </c>
      <c r="G69">
        <v>3</v>
      </c>
      <c r="H69">
        <v>3624.28</v>
      </c>
      <c r="I69">
        <v>12</v>
      </c>
      <c r="J69" t="s">
        <v>24</v>
      </c>
      <c r="K69" t="s">
        <v>18</v>
      </c>
      <c r="L69" t="s">
        <v>19</v>
      </c>
      <c r="M69">
        <f>Table1[[#This Row],[Quantity]]*Table1[[#This Row],[Unit_Price]]</f>
        <v>10872.84</v>
      </c>
      <c r="N69">
        <f>Table1[[#This Row],[Sales amount]]*Table1[[#This Row],[Discount]]/100</f>
        <v>1304.7408</v>
      </c>
      <c r="O69">
        <f>Table1[[#This Row],[Sales amount]]-Table1[[#This Row],[Discount amount]]</f>
        <v>9568.0992000000006</v>
      </c>
      <c r="P69" t="str">
        <f>TEXT(Table1[[#This Row],[Order_Date]],"mmm")</f>
        <v>Nov</v>
      </c>
      <c r="Q69">
        <f>YEAR(Table1[[#This Row],[Order_Date]])</f>
        <v>2023</v>
      </c>
    </row>
    <row r="70" spans="1:17" x14ac:dyDescent="0.3">
      <c r="A70">
        <v>1069</v>
      </c>
      <c r="B70" t="s">
        <v>101</v>
      </c>
      <c r="C70" t="s">
        <v>46</v>
      </c>
      <c r="D70" t="s">
        <v>47</v>
      </c>
      <c r="E70" t="s">
        <v>34</v>
      </c>
      <c r="F70" t="s">
        <v>44</v>
      </c>
      <c r="G70">
        <v>5</v>
      </c>
      <c r="H70">
        <v>1345.67</v>
      </c>
      <c r="I70">
        <v>13</v>
      </c>
      <c r="J70" t="s">
        <v>17</v>
      </c>
      <c r="K70" t="s">
        <v>18</v>
      </c>
      <c r="L70" t="s">
        <v>30</v>
      </c>
      <c r="M70">
        <f>Table1[[#This Row],[Quantity]]*Table1[[#This Row],[Unit_Price]]</f>
        <v>6728.35</v>
      </c>
      <c r="N70">
        <f>Table1[[#This Row],[Sales amount]]*Table1[[#This Row],[Discount]]/100</f>
        <v>874.68550000000005</v>
      </c>
      <c r="O70">
        <f>Table1[[#This Row],[Sales amount]]-Table1[[#This Row],[Discount amount]]</f>
        <v>5853.6645000000008</v>
      </c>
      <c r="P70" t="str">
        <f>TEXT(Table1[[#This Row],[Order_Date]],"mmm")</f>
        <v>Aug</v>
      </c>
      <c r="Q70">
        <f>YEAR(Table1[[#This Row],[Order_Date]])</f>
        <v>2023</v>
      </c>
    </row>
    <row r="71" spans="1:17" x14ac:dyDescent="0.3">
      <c r="A71">
        <v>1070</v>
      </c>
      <c r="B71" t="s">
        <v>111</v>
      </c>
      <c r="C71" t="s">
        <v>13</v>
      </c>
      <c r="D71" t="s">
        <v>47</v>
      </c>
      <c r="E71" t="s">
        <v>15</v>
      </c>
      <c r="F71" t="s">
        <v>23</v>
      </c>
      <c r="G71">
        <v>2</v>
      </c>
      <c r="H71">
        <v>2931.39</v>
      </c>
      <c r="I71">
        <v>0</v>
      </c>
      <c r="J71" t="s">
        <v>24</v>
      </c>
      <c r="K71" t="s">
        <v>18</v>
      </c>
      <c r="L71" t="s">
        <v>30</v>
      </c>
      <c r="M71">
        <f>Table1[[#This Row],[Quantity]]*Table1[[#This Row],[Unit_Price]]</f>
        <v>5862.78</v>
      </c>
      <c r="N71">
        <f>Table1[[#This Row],[Sales amount]]*Table1[[#This Row],[Discount]]/100</f>
        <v>0</v>
      </c>
      <c r="O71">
        <f>Table1[[#This Row],[Sales amount]]-Table1[[#This Row],[Discount amount]]</f>
        <v>5862.78</v>
      </c>
      <c r="P71" t="str">
        <f>TEXT(Table1[[#This Row],[Order_Date]],"mmm")</f>
        <v>Mar</v>
      </c>
      <c r="Q71">
        <f>YEAR(Table1[[#This Row],[Order_Date]])</f>
        <v>2023</v>
      </c>
    </row>
    <row r="72" spans="1:17" x14ac:dyDescent="0.3">
      <c r="A72">
        <v>1071</v>
      </c>
      <c r="B72" t="s">
        <v>112</v>
      </c>
      <c r="C72" t="s">
        <v>46</v>
      </c>
      <c r="D72" t="s">
        <v>22</v>
      </c>
      <c r="E72" t="s">
        <v>113</v>
      </c>
      <c r="F72" t="s">
        <v>38</v>
      </c>
      <c r="G72">
        <v>2</v>
      </c>
      <c r="H72">
        <v>4641.54</v>
      </c>
      <c r="I72">
        <v>26</v>
      </c>
      <c r="J72" t="s">
        <v>17</v>
      </c>
      <c r="K72" t="s">
        <v>18</v>
      </c>
      <c r="L72" t="s">
        <v>19</v>
      </c>
      <c r="M72">
        <f>Table1[[#This Row],[Quantity]]*Table1[[#This Row],[Unit_Price]]</f>
        <v>9283.08</v>
      </c>
      <c r="N72">
        <f>Table1[[#This Row],[Sales amount]]*Table1[[#This Row],[Discount]]/100</f>
        <v>2413.6007999999997</v>
      </c>
      <c r="O72">
        <f>Table1[[#This Row],[Sales amount]]-Table1[[#This Row],[Discount amount]]</f>
        <v>6869.4791999999998</v>
      </c>
      <c r="P72" t="str">
        <f>TEXT(Table1[[#This Row],[Order_Date]],"mmm")</f>
        <v>Feb</v>
      </c>
      <c r="Q72">
        <f>YEAR(Table1[[#This Row],[Order_Date]])</f>
        <v>2023</v>
      </c>
    </row>
    <row r="73" spans="1:17" x14ac:dyDescent="0.3">
      <c r="A73">
        <v>1072</v>
      </c>
      <c r="B73" t="s">
        <v>114</v>
      </c>
      <c r="C73" t="s">
        <v>54</v>
      </c>
      <c r="D73" t="s">
        <v>14</v>
      </c>
      <c r="E73" t="s">
        <v>34</v>
      </c>
      <c r="F73" t="s">
        <v>44</v>
      </c>
      <c r="G73">
        <v>9</v>
      </c>
      <c r="H73">
        <v>3808.2</v>
      </c>
      <c r="I73">
        <v>21</v>
      </c>
      <c r="J73" t="s">
        <v>39</v>
      </c>
      <c r="K73" t="s">
        <v>29</v>
      </c>
      <c r="L73" t="s">
        <v>30</v>
      </c>
      <c r="M73">
        <f>Table1[[#This Row],[Quantity]]*Table1[[#This Row],[Unit_Price]]</f>
        <v>34273.799999999996</v>
      </c>
      <c r="N73">
        <f>Table1[[#This Row],[Sales amount]]*Table1[[#This Row],[Discount]]/100</f>
        <v>7197.4979999999996</v>
      </c>
      <c r="O73">
        <f>Table1[[#This Row],[Sales amount]]-Table1[[#This Row],[Discount amount]]</f>
        <v>27076.301999999996</v>
      </c>
      <c r="P73" t="str">
        <f>TEXT(Table1[[#This Row],[Order_Date]],"mmm")</f>
        <v>Aug</v>
      </c>
      <c r="Q73">
        <f>YEAR(Table1[[#This Row],[Order_Date]])</f>
        <v>2023</v>
      </c>
    </row>
    <row r="74" spans="1:17" x14ac:dyDescent="0.3">
      <c r="A74">
        <v>1073</v>
      </c>
      <c r="B74" t="s">
        <v>115</v>
      </c>
      <c r="C74" t="s">
        <v>32</v>
      </c>
      <c r="D74" t="s">
        <v>22</v>
      </c>
      <c r="E74" t="s">
        <v>27</v>
      </c>
      <c r="F74" t="s">
        <v>62</v>
      </c>
      <c r="G74">
        <v>8</v>
      </c>
      <c r="H74">
        <v>2287.14</v>
      </c>
      <c r="I74">
        <v>20</v>
      </c>
      <c r="J74" t="s">
        <v>24</v>
      </c>
      <c r="K74" t="s">
        <v>18</v>
      </c>
      <c r="L74" t="s">
        <v>30</v>
      </c>
      <c r="M74">
        <f>Table1[[#This Row],[Quantity]]*Table1[[#This Row],[Unit_Price]]</f>
        <v>18297.12</v>
      </c>
      <c r="N74">
        <f>Table1[[#This Row],[Sales amount]]*Table1[[#This Row],[Discount]]/100</f>
        <v>3659.4239999999995</v>
      </c>
      <c r="O74">
        <f>Table1[[#This Row],[Sales amount]]-Table1[[#This Row],[Discount amount]]</f>
        <v>14637.696</v>
      </c>
      <c r="P74" t="str">
        <f>TEXT(Table1[[#This Row],[Order_Date]],"mmm")</f>
        <v>Jan</v>
      </c>
      <c r="Q74">
        <f>YEAR(Table1[[#This Row],[Order_Date]])</f>
        <v>2023</v>
      </c>
    </row>
    <row r="75" spans="1:17" x14ac:dyDescent="0.3">
      <c r="A75">
        <v>1074</v>
      </c>
      <c r="B75" t="s">
        <v>116</v>
      </c>
      <c r="C75" t="s">
        <v>46</v>
      </c>
      <c r="D75" t="s">
        <v>22</v>
      </c>
      <c r="E75" t="s">
        <v>15</v>
      </c>
      <c r="F75" t="s">
        <v>16</v>
      </c>
      <c r="G75">
        <v>4</v>
      </c>
      <c r="H75">
        <v>3923.96</v>
      </c>
      <c r="I75">
        <v>24</v>
      </c>
      <c r="J75" t="s">
        <v>39</v>
      </c>
      <c r="K75" t="s">
        <v>18</v>
      </c>
      <c r="L75" t="s">
        <v>19</v>
      </c>
      <c r="M75">
        <f>Table1[[#This Row],[Quantity]]*Table1[[#This Row],[Unit_Price]]</f>
        <v>15695.84</v>
      </c>
      <c r="N75">
        <f>Table1[[#This Row],[Sales amount]]*Table1[[#This Row],[Discount]]/100</f>
        <v>3767.0016000000005</v>
      </c>
      <c r="O75">
        <f>Table1[[#This Row],[Sales amount]]-Table1[[#This Row],[Discount amount]]</f>
        <v>11928.838400000001</v>
      </c>
      <c r="P75" t="str">
        <f>TEXT(Table1[[#This Row],[Order_Date]],"mmm")</f>
        <v>Apr</v>
      </c>
      <c r="Q75">
        <f>YEAR(Table1[[#This Row],[Order_Date]])</f>
        <v>2023</v>
      </c>
    </row>
    <row r="76" spans="1:17" x14ac:dyDescent="0.3">
      <c r="A76">
        <v>1075</v>
      </c>
      <c r="B76" t="s">
        <v>117</v>
      </c>
      <c r="C76" t="s">
        <v>32</v>
      </c>
      <c r="D76" t="s">
        <v>22</v>
      </c>
      <c r="E76" t="s">
        <v>27</v>
      </c>
      <c r="F76" t="s">
        <v>23</v>
      </c>
      <c r="G76">
        <v>9</v>
      </c>
      <c r="H76">
        <v>735.38</v>
      </c>
      <c r="I76">
        <v>11</v>
      </c>
      <c r="J76" t="s">
        <v>17</v>
      </c>
      <c r="K76" t="s">
        <v>40</v>
      </c>
      <c r="L76" t="s">
        <v>48</v>
      </c>
      <c r="M76">
        <f>Table1[[#This Row],[Quantity]]*Table1[[#This Row],[Unit_Price]]</f>
        <v>6618.42</v>
      </c>
      <c r="N76">
        <f>Table1[[#This Row],[Sales amount]]*Table1[[#This Row],[Discount]]/100</f>
        <v>728.0261999999999</v>
      </c>
      <c r="O76">
        <f>Table1[[#This Row],[Sales amount]]-Table1[[#This Row],[Discount amount]]</f>
        <v>5890.3937999999998</v>
      </c>
      <c r="P76" t="str">
        <f>TEXT(Table1[[#This Row],[Order_Date]],"mmm")</f>
        <v>Dec</v>
      </c>
      <c r="Q76">
        <f>YEAR(Table1[[#This Row],[Order_Date]])</f>
        <v>2023</v>
      </c>
    </row>
    <row r="77" spans="1:17" x14ac:dyDescent="0.3">
      <c r="A77">
        <v>1076</v>
      </c>
      <c r="B77" t="s">
        <v>118</v>
      </c>
      <c r="C77" t="s">
        <v>46</v>
      </c>
      <c r="D77" t="s">
        <v>14</v>
      </c>
      <c r="E77" t="s">
        <v>27</v>
      </c>
      <c r="F77" t="s">
        <v>44</v>
      </c>
      <c r="G77">
        <v>1</v>
      </c>
      <c r="H77">
        <v>2417.2600000000002</v>
      </c>
      <c r="I77">
        <v>25</v>
      </c>
      <c r="J77" t="s">
        <v>28</v>
      </c>
      <c r="K77" t="s">
        <v>18</v>
      </c>
      <c r="L77" t="s">
        <v>19</v>
      </c>
      <c r="M77">
        <f>Table1[[#This Row],[Quantity]]*Table1[[#This Row],[Unit_Price]]</f>
        <v>2417.2600000000002</v>
      </c>
      <c r="N77">
        <f>Table1[[#This Row],[Sales amount]]*Table1[[#This Row],[Discount]]/100</f>
        <v>604.31500000000005</v>
      </c>
      <c r="O77">
        <f>Table1[[#This Row],[Sales amount]]-Table1[[#This Row],[Discount amount]]</f>
        <v>1812.9450000000002</v>
      </c>
      <c r="P77" t="str">
        <f>TEXT(Table1[[#This Row],[Order_Date]],"mmm")</f>
        <v>Oct</v>
      </c>
      <c r="Q77">
        <f>YEAR(Table1[[#This Row],[Order_Date]])</f>
        <v>2023</v>
      </c>
    </row>
    <row r="78" spans="1:17" x14ac:dyDescent="0.3">
      <c r="A78">
        <v>1077</v>
      </c>
      <c r="B78" t="s">
        <v>119</v>
      </c>
      <c r="C78" t="s">
        <v>54</v>
      </c>
      <c r="D78" t="s">
        <v>22</v>
      </c>
      <c r="E78" t="s">
        <v>27</v>
      </c>
      <c r="F78" t="s">
        <v>44</v>
      </c>
      <c r="G78">
        <v>9</v>
      </c>
      <c r="H78">
        <v>4774.63</v>
      </c>
      <c r="I78">
        <v>7</v>
      </c>
      <c r="J78" t="s">
        <v>24</v>
      </c>
      <c r="K78" t="s">
        <v>40</v>
      </c>
      <c r="L78" t="s">
        <v>30</v>
      </c>
      <c r="M78">
        <f>Table1[[#This Row],[Quantity]]*Table1[[#This Row],[Unit_Price]]</f>
        <v>42971.67</v>
      </c>
      <c r="N78">
        <f>Table1[[#This Row],[Sales amount]]*Table1[[#This Row],[Discount]]/100</f>
        <v>3008.0169000000001</v>
      </c>
      <c r="O78">
        <f>Table1[[#This Row],[Sales amount]]-Table1[[#This Row],[Discount amount]]</f>
        <v>39963.653099999996</v>
      </c>
      <c r="P78" t="str">
        <f>TEXT(Table1[[#This Row],[Order_Date]],"mmm")</f>
        <v>Mar</v>
      </c>
      <c r="Q78">
        <f>YEAR(Table1[[#This Row],[Order_Date]])</f>
        <v>2023</v>
      </c>
    </row>
    <row r="79" spans="1:17" x14ac:dyDescent="0.3">
      <c r="A79">
        <v>1078</v>
      </c>
      <c r="B79" t="s">
        <v>120</v>
      </c>
      <c r="C79" t="s">
        <v>52</v>
      </c>
      <c r="D79" t="s">
        <v>47</v>
      </c>
      <c r="E79" t="s">
        <v>15</v>
      </c>
      <c r="F79" t="s">
        <v>23</v>
      </c>
      <c r="G79">
        <v>5</v>
      </c>
      <c r="H79">
        <v>425.91</v>
      </c>
      <c r="I79">
        <v>9</v>
      </c>
      <c r="J79" t="s">
        <v>24</v>
      </c>
      <c r="K79" t="s">
        <v>40</v>
      </c>
      <c r="L79" t="s">
        <v>30</v>
      </c>
      <c r="M79">
        <f>Table1[[#This Row],[Quantity]]*Table1[[#This Row],[Unit_Price]]</f>
        <v>2129.5500000000002</v>
      </c>
      <c r="N79">
        <f>Table1[[#This Row],[Sales amount]]*Table1[[#This Row],[Discount]]/100</f>
        <v>191.65950000000001</v>
      </c>
      <c r="O79">
        <f>Table1[[#This Row],[Sales amount]]-Table1[[#This Row],[Discount amount]]</f>
        <v>1937.8905000000002</v>
      </c>
      <c r="P79" t="str">
        <f>TEXT(Table1[[#This Row],[Order_Date]],"mmm")</f>
        <v>Feb</v>
      </c>
      <c r="Q79">
        <f>YEAR(Table1[[#This Row],[Order_Date]])</f>
        <v>2023</v>
      </c>
    </row>
    <row r="80" spans="1:17" x14ac:dyDescent="0.3">
      <c r="A80">
        <v>1079</v>
      </c>
      <c r="B80" t="s">
        <v>121</v>
      </c>
      <c r="C80" t="s">
        <v>13</v>
      </c>
      <c r="D80" t="s">
        <v>33</v>
      </c>
      <c r="E80" t="s">
        <v>34</v>
      </c>
      <c r="F80" t="s">
        <v>38</v>
      </c>
      <c r="G80">
        <v>3</v>
      </c>
      <c r="H80">
        <v>827.38</v>
      </c>
      <c r="I80">
        <v>0</v>
      </c>
      <c r="J80" t="s">
        <v>28</v>
      </c>
      <c r="K80" t="s">
        <v>40</v>
      </c>
      <c r="L80" t="s">
        <v>48</v>
      </c>
      <c r="M80">
        <f>Table1[[#This Row],[Quantity]]*Table1[[#This Row],[Unit_Price]]</f>
        <v>2482.14</v>
      </c>
      <c r="N80">
        <f>Table1[[#This Row],[Sales amount]]*Table1[[#This Row],[Discount]]/100</f>
        <v>0</v>
      </c>
      <c r="O80">
        <f>Table1[[#This Row],[Sales amount]]-Table1[[#This Row],[Discount amount]]</f>
        <v>2482.14</v>
      </c>
      <c r="P80" t="str">
        <f>TEXT(Table1[[#This Row],[Order_Date]],"mmm")</f>
        <v>May</v>
      </c>
      <c r="Q80">
        <f>YEAR(Table1[[#This Row],[Order_Date]])</f>
        <v>2023</v>
      </c>
    </row>
    <row r="81" spans="1:17" x14ac:dyDescent="0.3">
      <c r="A81">
        <v>1080</v>
      </c>
      <c r="B81" t="s">
        <v>122</v>
      </c>
      <c r="C81" t="s">
        <v>13</v>
      </c>
      <c r="D81" t="s">
        <v>22</v>
      </c>
      <c r="E81" t="s">
        <v>15</v>
      </c>
      <c r="F81" t="s">
        <v>44</v>
      </c>
      <c r="G81">
        <v>9</v>
      </c>
      <c r="H81">
        <v>3225.7</v>
      </c>
      <c r="I81">
        <v>7</v>
      </c>
      <c r="J81" t="s">
        <v>24</v>
      </c>
      <c r="K81" t="s">
        <v>29</v>
      </c>
      <c r="L81" t="s">
        <v>30</v>
      </c>
      <c r="M81">
        <f>Table1[[#This Row],[Quantity]]*Table1[[#This Row],[Unit_Price]]</f>
        <v>29031.3</v>
      </c>
      <c r="N81">
        <f>Table1[[#This Row],[Sales amount]]*Table1[[#This Row],[Discount]]/100</f>
        <v>2032.191</v>
      </c>
      <c r="O81">
        <f>Table1[[#This Row],[Sales amount]]-Table1[[#This Row],[Discount amount]]</f>
        <v>26999.109</v>
      </c>
      <c r="P81" t="str">
        <f>TEXT(Table1[[#This Row],[Order_Date]],"mmm")</f>
        <v>Aug</v>
      </c>
      <c r="Q81">
        <f>YEAR(Table1[[#This Row],[Order_Date]])</f>
        <v>2023</v>
      </c>
    </row>
    <row r="82" spans="1:17" x14ac:dyDescent="0.3">
      <c r="A82">
        <v>1081</v>
      </c>
      <c r="B82" t="s">
        <v>123</v>
      </c>
      <c r="C82" t="s">
        <v>52</v>
      </c>
      <c r="D82" t="s">
        <v>14</v>
      </c>
      <c r="E82" t="s">
        <v>34</v>
      </c>
      <c r="F82" t="s">
        <v>16</v>
      </c>
      <c r="G82">
        <v>10</v>
      </c>
      <c r="H82">
        <v>319.01</v>
      </c>
      <c r="I82">
        <v>23</v>
      </c>
      <c r="J82" t="s">
        <v>24</v>
      </c>
      <c r="K82" t="s">
        <v>40</v>
      </c>
      <c r="L82" t="s">
        <v>30</v>
      </c>
      <c r="M82">
        <f>Table1[[#This Row],[Quantity]]*Table1[[#This Row],[Unit_Price]]</f>
        <v>3190.1</v>
      </c>
      <c r="N82">
        <f>Table1[[#This Row],[Sales amount]]*Table1[[#This Row],[Discount]]/100</f>
        <v>733.72300000000007</v>
      </c>
      <c r="O82">
        <f>Table1[[#This Row],[Sales amount]]-Table1[[#This Row],[Discount amount]]</f>
        <v>2456.377</v>
      </c>
      <c r="P82" t="str">
        <f>TEXT(Table1[[#This Row],[Order_Date]],"mmm")</f>
        <v>Jan</v>
      </c>
      <c r="Q82">
        <f>YEAR(Table1[[#This Row],[Order_Date]])</f>
        <v>2023</v>
      </c>
    </row>
    <row r="83" spans="1:17" x14ac:dyDescent="0.3">
      <c r="A83">
        <v>1082</v>
      </c>
      <c r="B83" t="s">
        <v>124</v>
      </c>
      <c r="C83" t="s">
        <v>46</v>
      </c>
      <c r="D83" t="s">
        <v>47</v>
      </c>
      <c r="E83" t="s">
        <v>27</v>
      </c>
      <c r="F83" t="s">
        <v>16</v>
      </c>
      <c r="G83">
        <v>8</v>
      </c>
      <c r="H83">
        <v>2924.27</v>
      </c>
      <c r="I83">
        <v>21</v>
      </c>
      <c r="J83" t="s">
        <v>24</v>
      </c>
      <c r="K83" t="s">
        <v>29</v>
      </c>
      <c r="L83" t="s">
        <v>19</v>
      </c>
      <c r="M83">
        <f>Table1[[#This Row],[Quantity]]*Table1[[#This Row],[Unit_Price]]</f>
        <v>23394.16</v>
      </c>
      <c r="N83">
        <f>Table1[[#This Row],[Sales amount]]*Table1[[#This Row],[Discount]]/100</f>
        <v>4912.7735999999995</v>
      </c>
      <c r="O83">
        <f>Table1[[#This Row],[Sales amount]]-Table1[[#This Row],[Discount amount]]</f>
        <v>18481.386399999999</v>
      </c>
      <c r="P83" t="str">
        <f>TEXT(Table1[[#This Row],[Order_Date]],"mmm")</f>
        <v>Jan</v>
      </c>
      <c r="Q83">
        <f>YEAR(Table1[[#This Row],[Order_Date]])</f>
        <v>2023</v>
      </c>
    </row>
    <row r="84" spans="1:17" x14ac:dyDescent="0.3">
      <c r="A84">
        <v>1083</v>
      </c>
      <c r="B84" t="s">
        <v>125</v>
      </c>
      <c r="C84" t="s">
        <v>46</v>
      </c>
      <c r="D84" t="s">
        <v>14</v>
      </c>
      <c r="E84" t="s">
        <v>27</v>
      </c>
      <c r="F84" t="s">
        <v>16</v>
      </c>
      <c r="G84">
        <v>4</v>
      </c>
      <c r="H84">
        <v>2021.8</v>
      </c>
      <c r="I84">
        <v>22</v>
      </c>
      <c r="J84" t="s">
        <v>28</v>
      </c>
      <c r="K84" t="s">
        <v>40</v>
      </c>
      <c r="L84" t="s">
        <v>19</v>
      </c>
      <c r="M84">
        <f>Table1[[#This Row],[Quantity]]*Table1[[#This Row],[Unit_Price]]</f>
        <v>8087.2</v>
      </c>
      <c r="N84">
        <f>Table1[[#This Row],[Sales amount]]*Table1[[#This Row],[Discount]]/100</f>
        <v>1779.184</v>
      </c>
      <c r="O84">
        <f>Table1[[#This Row],[Sales amount]]-Table1[[#This Row],[Discount amount]]</f>
        <v>6308.0159999999996</v>
      </c>
      <c r="P84" t="str">
        <f>TEXT(Table1[[#This Row],[Order_Date]],"mmm")</f>
        <v>Apr</v>
      </c>
      <c r="Q84">
        <f>YEAR(Table1[[#This Row],[Order_Date]])</f>
        <v>2023</v>
      </c>
    </row>
    <row r="85" spans="1:17" x14ac:dyDescent="0.3">
      <c r="A85">
        <v>1084</v>
      </c>
      <c r="B85" t="s">
        <v>102</v>
      </c>
      <c r="C85" t="s">
        <v>46</v>
      </c>
      <c r="D85" t="s">
        <v>33</v>
      </c>
      <c r="E85" t="s">
        <v>15</v>
      </c>
      <c r="F85" t="s">
        <v>35</v>
      </c>
      <c r="G85">
        <v>3</v>
      </c>
      <c r="H85">
        <v>1973.28</v>
      </c>
      <c r="I85">
        <v>19</v>
      </c>
      <c r="J85" t="s">
        <v>17</v>
      </c>
      <c r="K85" t="s">
        <v>40</v>
      </c>
      <c r="L85" t="s">
        <v>19</v>
      </c>
      <c r="M85">
        <f>Table1[[#This Row],[Quantity]]*Table1[[#This Row],[Unit_Price]]</f>
        <v>5919.84</v>
      </c>
      <c r="N85">
        <f>Table1[[#This Row],[Sales amount]]*Table1[[#This Row],[Discount]]/100</f>
        <v>1124.7696000000001</v>
      </c>
      <c r="O85">
        <f>Table1[[#This Row],[Sales amount]]-Table1[[#This Row],[Discount amount]]</f>
        <v>4795.0704000000005</v>
      </c>
      <c r="P85" t="str">
        <f>TEXT(Table1[[#This Row],[Order_Date]],"mmm")</f>
        <v>Nov</v>
      </c>
      <c r="Q85">
        <f>YEAR(Table1[[#This Row],[Order_Date]])</f>
        <v>2023</v>
      </c>
    </row>
    <row r="86" spans="1:17" x14ac:dyDescent="0.3">
      <c r="A86">
        <v>1085</v>
      </c>
      <c r="B86" t="s">
        <v>126</v>
      </c>
      <c r="C86" t="s">
        <v>54</v>
      </c>
      <c r="D86" t="s">
        <v>33</v>
      </c>
      <c r="E86" t="s">
        <v>15</v>
      </c>
      <c r="F86" t="s">
        <v>23</v>
      </c>
      <c r="G86">
        <v>10</v>
      </c>
      <c r="H86">
        <v>3715.9</v>
      </c>
      <c r="I86">
        <v>18</v>
      </c>
      <c r="J86" t="s">
        <v>39</v>
      </c>
      <c r="K86" t="s">
        <v>40</v>
      </c>
      <c r="L86" t="s">
        <v>19</v>
      </c>
      <c r="M86">
        <f>Table1[[#This Row],[Quantity]]*Table1[[#This Row],[Unit_Price]]</f>
        <v>37159</v>
      </c>
      <c r="N86">
        <f>Table1[[#This Row],[Sales amount]]*Table1[[#This Row],[Discount]]/100</f>
        <v>6688.62</v>
      </c>
      <c r="O86">
        <f>Table1[[#This Row],[Sales amount]]-Table1[[#This Row],[Discount amount]]</f>
        <v>30470.38</v>
      </c>
      <c r="P86" t="str">
        <f>TEXT(Table1[[#This Row],[Order_Date]],"mmm")</f>
        <v>Sep</v>
      </c>
      <c r="Q86">
        <f>YEAR(Table1[[#This Row],[Order_Date]])</f>
        <v>2023</v>
      </c>
    </row>
    <row r="87" spans="1:17" x14ac:dyDescent="0.3">
      <c r="A87">
        <v>1086</v>
      </c>
      <c r="B87" t="s">
        <v>127</v>
      </c>
      <c r="C87" t="s">
        <v>21</v>
      </c>
      <c r="D87" t="s">
        <v>47</v>
      </c>
      <c r="E87" t="s">
        <v>27</v>
      </c>
      <c r="F87" t="s">
        <v>44</v>
      </c>
      <c r="G87">
        <v>7</v>
      </c>
      <c r="H87">
        <v>172.54</v>
      </c>
      <c r="I87">
        <v>25</v>
      </c>
      <c r="J87" t="s">
        <v>17</v>
      </c>
      <c r="K87" t="s">
        <v>18</v>
      </c>
      <c r="L87" t="s">
        <v>30</v>
      </c>
      <c r="M87">
        <f>Table1[[#This Row],[Quantity]]*Table1[[#This Row],[Unit_Price]]</f>
        <v>1207.78</v>
      </c>
      <c r="N87">
        <f>Table1[[#This Row],[Sales amount]]*Table1[[#This Row],[Discount]]/100</f>
        <v>301.94499999999999</v>
      </c>
      <c r="O87">
        <f>Table1[[#This Row],[Sales amount]]-Table1[[#This Row],[Discount amount]]</f>
        <v>905.83500000000004</v>
      </c>
      <c r="P87" t="str">
        <f>TEXT(Table1[[#This Row],[Order_Date]],"mmm")</f>
        <v>Oct</v>
      </c>
      <c r="Q87">
        <f>YEAR(Table1[[#This Row],[Order_Date]])</f>
        <v>2023</v>
      </c>
    </row>
    <row r="88" spans="1:17" x14ac:dyDescent="0.3">
      <c r="A88">
        <v>1087</v>
      </c>
      <c r="B88" t="s">
        <v>98</v>
      </c>
      <c r="C88" t="s">
        <v>21</v>
      </c>
      <c r="D88" t="s">
        <v>43</v>
      </c>
      <c r="E88" t="s">
        <v>34</v>
      </c>
      <c r="F88" t="s">
        <v>38</v>
      </c>
      <c r="G88">
        <v>2</v>
      </c>
      <c r="H88">
        <v>4389.67</v>
      </c>
      <c r="I88">
        <v>15</v>
      </c>
      <c r="J88" t="s">
        <v>24</v>
      </c>
      <c r="K88" t="s">
        <v>40</v>
      </c>
      <c r="L88" t="s">
        <v>19</v>
      </c>
      <c r="M88">
        <f>Table1[[#This Row],[Quantity]]*Table1[[#This Row],[Unit_Price]]</f>
        <v>8779.34</v>
      </c>
      <c r="N88">
        <f>Table1[[#This Row],[Sales amount]]*Table1[[#This Row],[Discount]]/100</f>
        <v>1316.9010000000001</v>
      </c>
      <c r="O88">
        <f>Table1[[#This Row],[Sales amount]]-Table1[[#This Row],[Discount amount]]</f>
        <v>7462.4390000000003</v>
      </c>
      <c r="P88" t="str">
        <f>TEXT(Table1[[#This Row],[Order_Date]],"mmm")</f>
        <v>Jul</v>
      </c>
      <c r="Q88">
        <f>YEAR(Table1[[#This Row],[Order_Date]])</f>
        <v>2023</v>
      </c>
    </row>
    <row r="89" spans="1:17" x14ac:dyDescent="0.3">
      <c r="A89">
        <v>1088</v>
      </c>
      <c r="B89" t="s">
        <v>128</v>
      </c>
      <c r="C89" t="s">
        <v>42</v>
      </c>
      <c r="D89" t="s">
        <v>22</v>
      </c>
      <c r="E89" t="s">
        <v>34</v>
      </c>
      <c r="F89" t="s">
        <v>35</v>
      </c>
      <c r="G89">
        <v>6</v>
      </c>
      <c r="H89">
        <v>3866.35</v>
      </c>
      <c r="I89">
        <v>5</v>
      </c>
      <c r="J89" t="s">
        <v>39</v>
      </c>
      <c r="K89" t="s">
        <v>40</v>
      </c>
      <c r="L89" t="s">
        <v>48</v>
      </c>
      <c r="M89">
        <f>Table1[[#This Row],[Quantity]]*Table1[[#This Row],[Unit_Price]]</f>
        <v>23198.1</v>
      </c>
      <c r="N89">
        <f>Table1[[#This Row],[Sales amount]]*Table1[[#This Row],[Discount]]/100</f>
        <v>1159.905</v>
      </c>
      <c r="O89">
        <f>Table1[[#This Row],[Sales amount]]-Table1[[#This Row],[Discount amount]]</f>
        <v>22038.195</v>
      </c>
      <c r="P89" t="str">
        <f>TEXT(Table1[[#This Row],[Order_Date]],"mmm")</f>
        <v>Jul</v>
      </c>
      <c r="Q89">
        <f>YEAR(Table1[[#This Row],[Order_Date]])</f>
        <v>2023</v>
      </c>
    </row>
    <row r="90" spans="1:17" x14ac:dyDescent="0.3">
      <c r="A90">
        <v>1089</v>
      </c>
      <c r="B90" t="s">
        <v>129</v>
      </c>
      <c r="C90" t="s">
        <v>32</v>
      </c>
      <c r="D90" t="s">
        <v>43</v>
      </c>
      <c r="E90" t="s">
        <v>34</v>
      </c>
      <c r="F90" t="s">
        <v>62</v>
      </c>
      <c r="G90">
        <v>10</v>
      </c>
      <c r="H90">
        <v>4442.08</v>
      </c>
      <c r="I90">
        <v>5</v>
      </c>
      <c r="J90" t="s">
        <v>28</v>
      </c>
      <c r="K90" t="s">
        <v>18</v>
      </c>
      <c r="L90" t="s">
        <v>30</v>
      </c>
      <c r="M90">
        <f>Table1[[#This Row],[Quantity]]*Table1[[#This Row],[Unit_Price]]</f>
        <v>44420.800000000003</v>
      </c>
      <c r="N90">
        <f>Table1[[#This Row],[Sales amount]]*Table1[[#This Row],[Discount]]/100</f>
        <v>2221.04</v>
      </c>
      <c r="O90">
        <f>Table1[[#This Row],[Sales amount]]-Table1[[#This Row],[Discount amount]]</f>
        <v>42199.76</v>
      </c>
      <c r="P90" t="str">
        <f>TEXT(Table1[[#This Row],[Order_Date]],"mmm")</f>
        <v>Jun</v>
      </c>
      <c r="Q90">
        <f>YEAR(Table1[[#This Row],[Order_Date]])</f>
        <v>2023</v>
      </c>
    </row>
    <row r="91" spans="1:17" x14ac:dyDescent="0.3">
      <c r="A91">
        <v>1090</v>
      </c>
      <c r="B91" t="s">
        <v>130</v>
      </c>
      <c r="C91" t="s">
        <v>54</v>
      </c>
      <c r="D91" t="s">
        <v>33</v>
      </c>
      <c r="E91" t="s">
        <v>34</v>
      </c>
      <c r="F91" t="s">
        <v>38</v>
      </c>
      <c r="G91">
        <v>8</v>
      </c>
      <c r="H91">
        <v>3159.06</v>
      </c>
      <c r="I91">
        <v>19</v>
      </c>
      <c r="J91" t="s">
        <v>28</v>
      </c>
      <c r="K91" t="s">
        <v>29</v>
      </c>
      <c r="L91" t="s">
        <v>19</v>
      </c>
      <c r="M91">
        <f>Table1[[#This Row],[Quantity]]*Table1[[#This Row],[Unit_Price]]</f>
        <v>25272.48</v>
      </c>
      <c r="N91">
        <f>Table1[[#This Row],[Sales amount]]*Table1[[#This Row],[Discount]]/100</f>
        <v>4801.7712000000001</v>
      </c>
      <c r="O91">
        <f>Table1[[#This Row],[Sales amount]]-Table1[[#This Row],[Discount amount]]</f>
        <v>20470.7088</v>
      </c>
      <c r="P91" t="str">
        <f>TEXT(Table1[[#This Row],[Order_Date]],"mmm")</f>
        <v>Sep</v>
      </c>
      <c r="Q91">
        <f>YEAR(Table1[[#This Row],[Order_Date]])</f>
        <v>2023</v>
      </c>
    </row>
    <row r="92" spans="1:17" x14ac:dyDescent="0.3">
      <c r="A92">
        <v>1091</v>
      </c>
      <c r="B92" t="s">
        <v>131</v>
      </c>
      <c r="C92" t="s">
        <v>13</v>
      </c>
      <c r="D92" t="s">
        <v>47</v>
      </c>
      <c r="E92" t="s">
        <v>34</v>
      </c>
      <c r="F92" t="s">
        <v>62</v>
      </c>
      <c r="G92">
        <v>10</v>
      </c>
      <c r="H92">
        <v>2397.9299999999998</v>
      </c>
      <c r="I92">
        <v>6</v>
      </c>
      <c r="J92" t="s">
        <v>39</v>
      </c>
      <c r="K92" t="s">
        <v>40</v>
      </c>
      <c r="L92" t="s">
        <v>48</v>
      </c>
      <c r="M92">
        <f>Table1[[#This Row],[Quantity]]*Table1[[#This Row],[Unit_Price]]</f>
        <v>23979.3</v>
      </c>
      <c r="N92">
        <f>Table1[[#This Row],[Sales amount]]*Table1[[#This Row],[Discount]]/100</f>
        <v>1438.7579999999998</v>
      </c>
      <c r="O92">
        <f>Table1[[#This Row],[Sales amount]]-Table1[[#This Row],[Discount amount]]</f>
        <v>22540.542000000001</v>
      </c>
      <c r="P92" t="str">
        <f>TEXT(Table1[[#This Row],[Order_Date]],"mmm")</f>
        <v>Jul</v>
      </c>
      <c r="Q92">
        <f>YEAR(Table1[[#This Row],[Order_Date]])</f>
        <v>2023</v>
      </c>
    </row>
    <row r="93" spans="1:17" x14ac:dyDescent="0.3">
      <c r="A93">
        <v>1092</v>
      </c>
      <c r="B93" t="s">
        <v>132</v>
      </c>
      <c r="C93" t="s">
        <v>21</v>
      </c>
      <c r="D93" t="s">
        <v>22</v>
      </c>
      <c r="E93" t="s">
        <v>15</v>
      </c>
      <c r="F93" t="s">
        <v>38</v>
      </c>
      <c r="G93">
        <v>4</v>
      </c>
      <c r="H93">
        <v>4616.2</v>
      </c>
      <c r="I93">
        <v>15</v>
      </c>
      <c r="J93" t="s">
        <v>24</v>
      </c>
      <c r="K93" t="s">
        <v>40</v>
      </c>
      <c r="L93" t="s">
        <v>30</v>
      </c>
      <c r="M93">
        <f>Table1[[#This Row],[Quantity]]*Table1[[#This Row],[Unit_Price]]</f>
        <v>18464.8</v>
      </c>
      <c r="N93">
        <f>Table1[[#This Row],[Sales amount]]*Table1[[#This Row],[Discount]]/100</f>
        <v>2769.72</v>
      </c>
      <c r="O93">
        <f>Table1[[#This Row],[Sales amount]]-Table1[[#This Row],[Discount amount]]</f>
        <v>15695.08</v>
      </c>
      <c r="P93" t="str">
        <f>TEXT(Table1[[#This Row],[Order_Date]],"mmm")</f>
        <v>Apr</v>
      </c>
      <c r="Q93">
        <f>YEAR(Table1[[#This Row],[Order_Date]])</f>
        <v>2023</v>
      </c>
    </row>
    <row r="94" spans="1:17" x14ac:dyDescent="0.3">
      <c r="A94">
        <v>1093</v>
      </c>
      <c r="B94" t="s">
        <v>133</v>
      </c>
      <c r="C94" t="s">
        <v>65</v>
      </c>
      <c r="D94" t="s">
        <v>14</v>
      </c>
      <c r="E94" t="s">
        <v>27</v>
      </c>
      <c r="F94" t="s">
        <v>23</v>
      </c>
      <c r="G94">
        <v>3</v>
      </c>
      <c r="H94">
        <v>1557.32</v>
      </c>
      <c r="I94">
        <v>10</v>
      </c>
      <c r="J94" t="s">
        <v>39</v>
      </c>
      <c r="K94" t="s">
        <v>40</v>
      </c>
      <c r="L94" t="s">
        <v>48</v>
      </c>
      <c r="M94">
        <f>Table1[[#This Row],[Quantity]]*Table1[[#This Row],[Unit_Price]]</f>
        <v>4671.96</v>
      </c>
      <c r="N94">
        <f>Table1[[#This Row],[Sales amount]]*Table1[[#This Row],[Discount]]/100</f>
        <v>467.19599999999997</v>
      </c>
      <c r="O94">
        <f>Table1[[#This Row],[Sales amount]]-Table1[[#This Row],[Discount amount]]</f>
        <v>4204.7640000000001</v>
      </c>
      <c r="P94" t="str">
        <f>TEXT(Table1[[#This Row],[Order_Date]],"mmm")</f>
        <v>May</v>
      </c>
      <c r="Q94">
        <f>YEAR(Table1[[#This Row],[Order_Date]])</f>
        <v>2023</v>
      </c>
    </row>
    <row r="95" spans="1:17" x14ac:dyDescent="0.3">
      <c r="A95">
        <v>1094</v>
      </c>
      <c r="B95" t="s">
        <v>124</v>
      </c>
      <c r="C95" t="s">
        <v>21</v>
      </c>
      <c r="D95" t="s">
        <v>43</v>
      </c>
      <c r="E95" t="s">
        <v>34</v>
      </c>
      <c r="F95" t="s">
        <v>35</v>
      </c>
      <c r="G95">
        <v>8</v>
      </c>
      <c r="H95">
        <v>1909.63</v>
      </c>
      <c r="I95">
        <v>29</v>
      </c>
      <c r="J95" t="s">
        <v>39</v>
      </c>
      <c r="K95" t="s">
        <v>18</v>
      </c>
      <c r="L95" t="s">
        <v>48</v>
      </c>
      <c r="M95">
        <f>Table1[[#This Row],[Quantity]]*Table1[[#This Row],[Unit_Price]]</f>
        <v>15277.04</v>
      </c>
      <c r="N95">
        <f>Table1[[#This Row],[Sales amount]]*Table1[[#This Row],[Discount]]/100</f>
        <v>4430.3416000000007</v>
      </c>
      <c r="O95">
        <f>Table1[[#This Row],[Sales amount]]-Table1[[#This Row],[Discount amount]]</f>
        <v>10846.698400000001</v>
      </c>
      <c r="P95" t="str">
        <f>TEXT(Table1[[#This Row],[Order_Date]],"mmm")</f>
        <v>Jan</v>
      </c>
      <c r="Q95">
        <f>YEAR(Table1[[#This Row],[Order_Date]])</f>
        <v>2023</v>
      </c>
    </row>
    <row r="96" spans="1:17" x14ac:dyDescent="0.3">
      <c r="A96">
        <v>1095</v>
      </c>
      <c r="B96" t="s">
        <v>134</v>
      </c>
      <c r="C96" t="s">
        <v>42</v>
      </c>
      <c r="D96" t="s">
        <v>14</v>
      </c>
      <c r="E96" t="s">
        <v>15</v>
      </c>
      <c r="F96" t="s">
        <v>16</v>
      </c>
      <c r="G96">
        <v>4</v>
      </c>
      <c r="H96">
        <v>4534.7299999999996</v>
      </c>
      <c r="I96">
        <v>13</v>
      </c>
      <c r="J96" t="s">
        <v>39</v>
      </c>
      <c r="K96" t="s">
        <v>40</v>
      </c>
      <c r="L96" t="s">
        <v>30</v>
      </c>
      <c r="M96">
        <f>Table1[[#This Row],[Quantity]]*Table1[[#This Row],[Unit_Price]]</f>
        <v>18138.919999999998</v>
      </c>
      <c r="N96">
        <f>Table1[[#This Row],[Sales amount]]*Table1[[#This Row],[Discount]]/100</f>
        <v>2358.0595999999996</v>
      </c>
      <c r="O96">
        <f>Table1[[#This Row],[Sales amount]]-Table1[[#This Row],[Discount amount]]</f>
        <v>15780.860399999998</v>
      </c>
      <c r="P96" t="str">
        <f>TEXT(Table1[[#This Row],[Order_Date]],"mmm")</f>
        <v>Jul</v>
      </c>
      <c r="Q96">
        <f>YEAR(Table1[[#This Row],[Order_Date]])</f>
        <v>2023</v>
      </c>
    </row>
    <row r="97" spans="1:17" x14ac:dyDescent="0.3">
      <c r="A97">
        <v>1096</v>
      </c>
      <c r="B97" t="s">
        <v>135</v>
      </c>
      <c r="C97" t="s">
        <v>42</v>
      </c>
      <c r="D97" t="s">
        <v>22</v>
      </c>
      <c r="E97" t="s">
        <v>34</v>
      </c>
      <c r="F97" t="s">
        <v>44</v>
      </c>
      <c r="G97">
        <v>8</v>
      </c>
      <c r="H97">
        <v>3300.89</v>
      </c>
      <c r="I97">
        <v>22</v>
      </c>
      <c r="J97" t="s">
        <v>28</v>
      </c>
      <c r="K97" t="s">
        <v>29</v>
      </c>
      <c r="L97" t="s">
        <v>19</v>
      </c>
      <c r="M97">
        <f>Table1[[#This Row],[Quantity]]*Table1[[#This Row],[Unit_Price]]</f>
        <v>26407.119999999999</v>
      </c>
      <c r="N97">
        <f>Table1[[#This Row],[Sales amount]]*Table1[[#This Row],[Discount]]/100</f>
        <v>5809.5663999999997</v>
      </c>
      <c r="O97">
        <f>Table1[[#This Row],[Sales amount]]-Table1[[#This Row],[Discount amount]]</f>
        <v>20597.553599999999</v>
      </c>
      <c r="P97" t="str">
        <f>TEXT(Table1[[#This Row],[Order_Date]],"mmm")</f>
        <v>Mar</v>
      </c>
      <c r="Q97">
        <f>YEAR(Table1[[#This Row],[Order_Date]])</f>
        <v>2023</v>
      </c>
    </row>
    <row r="98" spans="1:17" x14ac:dyDescent="0.3">
      <c r="A98">
        <v>1097</v>
      </c>
      <c r="B98" t="s">
        <v>79</v>
      </c>
      <c r="C98" t="s">
        <v>21</v>
      </c>
      <c r="D98" t="s">
        <v>22</v>
      </c>
      <c r="E98" t="s">
        <v>27</v>
      </c>
      <c r="F98" t="s">
        <v>62</v>
      </c>
      <c r="G98">
        <v>7</v>
      </c>
      <c r="H98">
        <v>2207</v>
      </c>
      <c r="I98">
        <v>24</v>
      </c>
      <c r="J98" t="s">
        <v>28</v>
      </c>
      <c r="K98" t="s">
        <v>29</v>
      </c>
      <c r="L98" t="s">
        <v>19</v>
      </c>
      <c r="M98">
        <f>Table1[[#This Row],[Quantity]]*Table1[[#This Row],[Unit_Price]]</f>
        <v>15449</v>
      </c>
      <c r="N98">
        <f>Table1[[#This Row],[Sales amount]]*Table1[[#This Row],[Discount]]/100</f>
        <v>3707.76</v>
      </c>
      <c r="O98">
        <f>Table1[[#This Row],[Sales amount]]-Table1[[#This Row],[Discount amount]]</f>
        <v>11741.24</v>
      </c>
      <c r="P98" t="str">
        <f>TEXT(Table1[[#This Row],[Order_Date]],"mmm")</f>
        <v>Nov</v>
      </c>
      <c r="Q98">
        <f>YEAR(Table1[[#This Row],[Order_Date]])</f>
        <v>2023</v>
      </c>
    </row>
    <row r="99" spans="1:17" x14ac:dyDescent="0.3">
      <c r="A99">
        <v>1098</v>
      </c>
      <c r="B99" t="s">
        <v>136</v>
      </c>
      <c r="C99" t="s">
        <v>21</v>
      </c>
      <c r="D99" t="s">
        <v>47</v>
      </c>
      <c r="E99" t="s">
        <v>27</v>
      </c>
      <c r="F99" t="s">
        <v>35</v>
      </c>
      <c r="G99">
        <v>4</v>
      </c>
      <c r="H99">
        <v>1138.73</v>
      </c>
      <c r="I99">
        <v>9</v>
      </c>
      <c r="J99" t="s">
        <v>24</v>
      </c>
      <c r="K99" t="s">
        <v>40</v>
      </c>
      <c r="L99" t="s">
        <v>30</v>
      </c>
      <c r="M99">
        <f>Table1[[#This Row],[Quantity]]*Table1[[#This Row],[Unit_Price]]</f>
        <v>4554.92</v>
      </c>
      <c r="N99">
        <f>Table1[[#This Row],[Sales amount]]*Table1[[#This Row],[Discount]]/100</f>
        <v>409.94279999999998</v>
      </c>
      <c r="O99">
        <f>Table1[[#This Row],[Sales amount]]-Table1[[#This Row],[Discount amount]]</f>
        <v>4144.9772000000003</v>
      </c>
      <c r="P99" t="str">
        <f>TEXT(Table1[[#This Row],[Order_Date]],"mmm")</f>
        <v>Apr</v>
      </c>
      <c r="Q99">
        <f>YEAR(Table1[[#This Row],[Order_Date]])</f>
        <v>2023</v>
      </c>
    </row>
    <row r="100" spans="1:17" x14ac:dyDescent="0.3">
      <c r="A100">
        <v>1099</v>
      </c>
      <c r="B100" t="s">
        <v>51</v>
      </c>
      <c r="C100" t="s">
        <v>52</v>
      </c>
      <c r="D100" t="s">
        <v>33</v>
      </c>
      <c r="E100" t="s">
        <v>15</v>
      </c>
      <c r="F100" t="s">
        <v>62</v>
      </c>
      <c r="G100">
        <v>5</v>
      </c>
      <c r="H100">
        <v>3504.29</v>
      </c>
      <c r="I100">
        <v>13</v>
      </c>
      <c r="J100" t="s">
        <v>24</v>
      </c>
      <c r="K100" t="s">
        <v>18</v>
      </c>
      <c r="L100" t="s">
        <v>19</v>
      </c>
      <c r="M100">
        <f>Table1[[#This Row],[Quantity]]*Table1[[#This Row],[Unit_Price]]</f>
        <v>17521.45</v>
      </c>
      <c r="N100">
        <f>Table1[[#This Row],[Sales amount]]*Table1[[#This Row],[Discount]]/100</f>
        <v>2277.7885000000001</v>
      </c>
      <c r="O100">
        <f>Table1[[#This Row],[Sales amount]]-Table1[[#This Row],[Discount amount]]</f>
        <v>15243.6615</v>
      </c>
      <c r="P100" t="str">
        <f>TEXT(Table1[[#This Row],[Order_Date]],"mmm")</f>
        <v>Jan</v>
      </c>
      <c r="Q100">
        <f>YEAR(Table1[[#This Row],[Order_Date]])</f>
        <v>2023</v>
      </c>
    </row>
    <row r="101" spans="1:17" x14ac:dyDescent="0.3">
      <c r="A101">
        <v>1100</v>
      </c>
      <c r="B101" t="s">
        <v>137</v>
      </c>
      <c r="C101" t="s">
        <v>54</v>
      </c>
      <c r="D101" t="s">
        <v>47</v>
      </c>
      <c r="E101" t="s">
        <v>27</v>
      </c>
      <c r="F101" t="s">
        <v>35</v>
      </c>
      <c r="G101">
        <v>5</v>
      </c>
      <c r="H101">
        <v>4994.95</v>
      </c>
      <c r="I101">
        <v>7</v>
      </c>
      <c r="J101" t="s">
        <v>39</v>
      </c>
      <c r="K101" t="s">
        <v>18</v>
      </c>
      <c r="L101" t="s">
        <v>19</v>
      </c>
      <c r="M101">
        <f>Table1[[#This Row],[Quantity]]*Table1[[#This Row],[Unit_Price]]</f>
        <v>24974.75</v>
      </c>
      <c r="N101">
        <f>Table1[[#This Row],[Sales amount]]*Table1[[#This Row],[Discount]]/100</f>
        <v>1748.2325000000001</v>
      </c>
      <c r="O101">
        <f>Table1[[#This Row],[Sales amount]]-Table1[[#This Row],[Discount amount]]</f>
        <v>23226.517500000002</v>
      </c>
      <c r="P101" t="str">
        <f>TEXT(Table1[[#This Row],[Order_Date]],"mmm")</f>
        <v>Jul</v>
      </c>
      <c r="Q101">
        <f>YEAR(Table1[[#This Row],[Order_Date]])</f>
        <v>2023</v>
      </c>
    </row>
    <row r="102" spans="1:17" x14ac:dyDescent="0.3">
      <c r="A102">
        <v>1101</v>
      </c>
      <c r="B102" t="s">
        <v>138</v>
      </c>
      <c r="C102" t="s">
        <v>42</v>
      </c>
      <c r="D102" t="s">
        <v>43</v>
      </c>
      <c r="E102" t="s">
        <v>34</v>
      </c>
      <c r="F102" t="s">
        <v>44</v>
      </c>
      <c r="G102">
        <v>9</v>
      </c>
      <c r="H102">
        <v>1131.22</v>
      </c>
      <c r="I102">
        <v>25</v>
      </c>
      <c r="J102" t="s">
        <v>39</v>
      </c>
      <c r="K102" t="s">
        <v>29</v>
      </c>
      <c r="L102" t="s">
        <v>48</v>
      </c>
      <c r="M102">
        <f>Table1[[#This Row],[Quantity]]*Table1[[#This Row],[Unit_Price]]</f>
        <v>10180.98</v>
      </c>
      <c r="N102">
        <f>Table1[[#This Row],[Sales amount]]*Table1[[#This Row],[Discount]]/100</f>
        <v>2545.2449999999999</v>
      </c>
      <c r="O102">
        <f>Table1[[#This Row],[Sales amount]]-Table1[[#This Row],[Discount amount]]</f>
        <v>7635.7349999999997</v>
      </c>
      <c r="P102" t="str">
        <f>TEXT(Table1[[#This Row],[Order_Date]],"mmm")</f>
        <v>Dec</v>
      </c>
      <c r="Q102">
        <f>YEAR(Table1[[#This Row],[Order_Date]])</f>
        <v>2023</v>
      </c>
    </row>
    <row r="103" spans="1:17" x14ac:dyDescent="0.3">
      <c r="A103">
        <v>1102</v>
      </c>
      <c r="B103" t="s">
        <v>139</v>
      </c>
      <c r="C103" t="s">
        <v>52</v>
      </c>
      <c r="D103" t="s">
        <v>14</v>
      </c>
      <c r="E103" t="s">
        <v>27</v>
      </c>
      <c r="F103" t="s">
        <v>62</v>
      </c>
      <c r="G103">
        <v>7</v>
      </c>
      <c r="H103">
        <v>1801.32</v>
      </c>
      <c r="I103">
        <v>1</v>
      </c>
      <c r="J103" t="s">
        <v>24</v>
      </c>
      <c r="K103" t="s">
        <v>29</v>
      </c>
      <c r="L103" t="s">
        <v>19</v>
      </c>
      <c r="M103">
        <f>Table1[[#This Row],[Quantity]]*Table1[[#This Row],[Unit_Price]]</f>
        <v>12609.24</v>
      </c>
      <c r="N103">
        <f>Table1[[#This Row],[Sales amount]]*Table1[[#This Row],[Discount]]/100</f>
        <v>126.0924</v>
      </c>
      <c r="O103">
        <f>Table1[[#This Row],[Sales amount]]-Table1[[#This Row],[Discount amount]]</f>
        <v>12483.1476</v>
      </c>
      <c r="P103" t="str">
        <f>TEXT(Table1[[#This Row],[Order_Date]],"mmm")</f>
        <v>Apr</v>
      </c>
      <c r="Q103">
        <f>YEAR(Table1[[#This Row],[Order_Date]])</f>
        <v>2023</v>
      </c>
    </row>
    <row r="104" spans="1:17" x14ac:dyDescent="0.3">
      <c r="A104">
        <v>1103</v>
      </c>
      <c r="B104" t="s">
        <v>140</v>
      </c>
      <c r="C104" t="s">
        <v>54</v>
      </c>
      <c r="D104" t="s">
        <v>14</v>
      </c>
      <c r="E104" t="s">
        <v>15</v>
      </c>
      <c r="F104" t="s">
        <v>44</v>
      </c>
      <c r="G104">
        <v>3</v>
      </c>
      <c r="H104">
        <v>4635.46</v>
      </c>
      <c r="I104">
        <v>30</v>
      </c>
      <c r="J104" t="s">
        <v>28</v>
      </c>
      <c r="K104" t="s">
        <v>29</v>
      </c>
      <c r="L104" t="s">
        <v>19</v>
      </c>
      <c r="M104">
        <f>Table1[[#This Row],[Quantity]]*Table1[[#This Row],[Unit_Price]]</f>
        <v>13906.380000000001</v>
      </c>
      <c r="N104">
        <f>Table1[[#This Row],[Sales amount]]*Table1[[#This Row],[Discount]]/100</f>
        <v>4171.9140000000007</v>
      </c>
      <c r="O104">
        <f>Table1[[#This Row],[Sales amount]]-Table1[[#This Row],[Discount amount]]</f>
        <v>9734.4660000000003</v>
      </c>
      <c r="P104" t="str">
        <f>TEXT(Table1[[#This Row],[Order_Date]],"mmm")</f>
        <v>Jul</v>
      </c>
      <c r="Q104">
        <f>YEAR(Table1[[#This Row],[Order_Date]])</f>
        <v>2023</v>
      </c>
    </row>
    <row r="105" spans="1:17" x14ac:dyDescent="0.3">
      <c r="A105">
        <v>1104</v>
      </c>
      <c r="B105" t="s">
        <v>141</v>
      </c>
      <c r="C105" t="s">
        <v>65</v>
      </c>
      <c r="D105" t="s">
        <v>43</v>
      </c>
      <c r="E105" t="s">
        <v>15</v>
      </c>
      <c r="F105" t="s">
        <v>38</v>
      </c>
      <c r="G105">
        <v>1</v>
      </c>
      <c r="H105">
        <v>1778.06</v>
      </c>
      <c r="I105">
        <v>8</v>
      </c>
      <c r="J105" t="s">
        <v>39</v>
      </c>
      <c r="K105" t="s">
        <v>29</v>
      </c>
      <c r="L105" t="s">
        <v>48</v>
      </c>
      <c r="M105">
        <f>Table1[[#This Row],[Quantity]]*Table1[[#This Row],[Unit_Price]]</f>
        <v>1778.06</v>
      </c>
      <c r="N105">
        <f>Table1[[#This Row],[Sales amount]]*Table1[[#This Row],[Discount]]/100</f>
        <v>142.2448</v>
      </c>
      <c r="O105">
        <f>Table1[[#This Row],[Sales amount]]-Table1[[#This Row],[Discount amount]]</f>
        <v>1635.8152</v>
      </c>
      <c r="P105" t="str">
        <f>TEXT(Table1[[#This Row],[Order_Date]],"mmm")</f>
        <v>Aug</v>
      </c>
      <c r="Q105">
        <f>YEAR(Table1[[#This Row],[Order_Date]])</f>
        <v>2023</v>
      </c>
    </row>
    <row r="106" spans="1:17" x14ac:dyDescent="0.3">
      <c r="A106">
        <v>1105</v>
      </c>
      <c r="B106" t="s">
        <v>116</v>
      </c>
      <c r="C106" t="s">
        <v>13</v>
      </c>
      <c r="D106" t="s">
        <v>47</v>
      </c>
      <c r="E106" t="s">
        <v>27</v>
      </c>
      <c r="F106" t="s">
        <v>44</v>
      </c>
      <c r="G106">
        <v>1</v>
      </c>
      <c r="H106">
        <v>551.66</v>
      </c>
      <c r="I106">
        <v>0</v>
      </c>
      <c r="J106" t="s">
        <v>28</v>
      </c>
      <c r="K106" t="s">
        <v>29</v>
      </c>
      <c r="L106" t="s">
        <v>30</v>
      </c>
      <c r="M106">
        <f>Table1[[#This Row],[Quantity]]*Table1[[#This Row],[Unit_Price]]</f>
        <v>551.66</v>
      </c>
      <c r="N106">
        <f>Table1[[#This Row],[Sales amount]]*Table1[[#This Row],[Discount]]/100</f>
        <v>0</v>
      </c>
      <c r="O106">
        <f>Table1[[#This Row],[Sales amount]]-Table1[[#This Row],[Discount amount]]</f>
        <v>551.66</v>
      </c>
      <c r="P106" t="str">
        <f>TEXT(Table1[[#This Row],[Order_Date]],"mmm")</f>
        <v>Apr</v>
      </c>
      <c r="Q106">
        <f>YEAR(Table1[[#This Row],[Order_Date]])</f>
        <v>2023</v>
      </c>
    </row>
    <row r="107" spans="1:17" x14ac:dyDescent="0.3">
      <c r="A107">
        <v>1106</v>
      </c>
      <c r="B107" t="s">
        <v>142</v>
      </c>
      <c r="C107" t="s">
        <v>65</v>
      </c>
      <c r="D107" t="s">
        <v>47</v>
      </c>
      <c r="E107" t="s">
        <v>27</v>
      </c>
      <c r="F107" t="s">
        <v>35</v>
      </c>
      <c r="G107">
        <v>7</v>
      </c>
      <c r="H107">
        <v>2785.36</v>
      </c>
      <c r="I107">
        <v>25</v>
      </c>
      <c r="J107" t="s">
        <v>28</v>
      </c>
      <c r="K107" t="s">
        <v>40</v>
      </c>
      <c r="L107" t="s">
        <v>30</v>
      </c>
      <c r="M107">
        <f>Table1[[#This Row],[Quantity]]*Table1[[#This Row],[Unit_Price]]</f>
        <v>19497.52</v>
      </c>
      <c r="N107">
        <f>Table1[[#This Row],[Sales amount]]*Table1[[#This Row],[Discount]]/100</f>
        <v>4874.38</v>
      </c>
      <c r="O107">
        <f>Table1[[#This Row],[Sales amount]]-Table1[[#This Row],[Discount amount]]</f>
        <v>14623.14</v>
      </c>
      <c r="P107" t="str">
        <f>TEXT(Table1[[#This Row],[Order_Date]],"mmm")</f>
        <v>Jan</v>
      </c>
      <c r="Q107">
        <f>YEAR(Table1[[#This Row],[Order_Date]])</f>
        <v>2023</v>
      </c>
    </row>
    <row r="108" spans="1:17" x14ac:dyDescent="0.3">
      <c r="A108">
        <v>1107</v>
      </c>
      <c r="B108" t="s">
        <v>126</v>
      </c>
      <c r="C108" t="s">
        <v>65</v>
      </c>
      <c r="D108" t="s">
        <v>22</v>
      </c>
      <c r="E108" t="s">
        <v>27</v>
      </c>
      <c r="F108" t="s">
        <v>35</v>
      </c>
      <c r="G108">
        <v>6</v>
      </c>
      <c r="H108">
        <v>4546.2700000000004</v>
      </c>
      <c r="I108">
        <v>20</v>
      </c>
      <c r="J108" t="s">
        <v>39</v>
      </c>
      <c r="K108" t="s">
        <v>18</v>
      </c>
      <c r="L108" t="s">
        <v>30</v>
      </c>
      <c r="M108">
        <f>Table1[[#This Row],[Quantity]]*Table1[[#This Row],[Unit_Price]]</f>
        <v>27277.620000000003</v>
      </c>
      <c r="N108">
        <f>Table1[[#This Row],[Sales amount]]*Table1[[#This Row],[Discount]]/100</f>
        <v>5455.5240000000003</v>
      </c>
      <c r="O108">
        <f>Table1[[#This Row],[Sales amount]]-Table1[[#This Row],[Discount amount]]</f>
        <v>21822.096000000001</v>
      </c>
      <c r="P108" t="str">
        <f>TEXT(Table1[[#This Row],[Order_Date]],"mmm")</f>
        <v>Sep</v>
      </c>
      <c r="Q108">
        <f>YEAR(Table1[[#This Row],[Order_Date]])</f>
        <v>2023</v>
      </c>
    </row>
    <row r="109" spans="1:17" x14ac:dyDescent="0.3">
      <c r="A109">
        <v>1108</v>
      </c>
      <c r="B109" t="s">
        <v>143</v>
      </c>
      <c r="C109" t="s">
        <v>54</v>
      </c>
      <c r="D109" t="s">
        <v>43</v>
      </c>
      <c r="E109" t="s">
        <v>15</v>
      </c>
      <c r="F109" t="s">
        <v>38</v>
      </c>
      <c r="G109">
        <v>10</v>
      </c>
      <c r="H109">
        <v>2527.96</v>
      </c>
      <c r="I109">
        <v>24</v>
      </c>
      <c r="J109" t="s">
        <v>24</v>
      </c>
      <c r="K109" t="s">
        <v>18</v>
      </c>
      <c r="L109" t="s">
        <v>19</v>
      </c>
      <c r="M109">
        <f>Table1[[#This Row],[Quantity]]*Table1[[#This Row],[Unit_Price]]</f>
        <v>25279.599999999999</v>
      </c>
      <c r="N109">
        <f>Table1[[#This Row],[Sales amount]]*Table1[[#This Row],[Discount]]/100</f>
        <v>6067.1039999999994</v>
      </c>
      <c r="O109">
        <f>Table1[[#This Row],[Sales amount]]-Table1[[#This Row],[Discount amount]]</f>
        <v>19212.495999999999</v>
      </c>
      <c r="P109" t="str">
        <f>TEXT(Table1[[#This Row],[Order_Date]],"mmm")</f>
        <v>Dec</v>
      </c>
      <c r="Q109">
        <f>YEAR(Table1[[#This Row],[Order_Date]])</f>
        <v>2023</v>
      </c>
    </row>
    <row r="110" spans="1:17" x14ac:dyDescent="0.3">
      <c r="A110">
        <v>1109</v>
      </c>
      <c r="B110" t="s">
        <v>144</v>
      </c>
      <c r="C110" t="s">
        <v>52</v>
      </c>
      <c r="D110" t="s">
        <v>43</v>
      </c>
      <c r="E110" t="s">
        <v>27</v>
      </c>
      <c r="F110" t="s">
        <v>35</v>
      </c>
      <c r="G110">
        <v>9</v>
      </c>
      <c r="H110">
        <v>152.47999999999999</v>
      </c>
      <c r="I110">
        <v>10</v>
      </c>
      <c r="J110" t="s">
        <v>24</v>
      </c>
      <c r="K110" t="s">
        <v>29</v>
      </c>
      <c r="L110" t="s">
        <v>30</v>
      </c>
      <c r="M110">
        <f>Table1[[#This Row],[Quantity]]*Table1[[#This Row],[Unit_Price]]</f>
        <v>1372.32</v>
      </c>
      <c r="N110">
        <f>Table1[[#This Row],[Sales amount]]*Table1[[#This Row],[Discount]]/100</f>
        <v>137.232</v>
      </c>
      <c r="O110">
        <f>Table1[[#This Row],[Sales amount]]-Table1[[#This Row],[Discount amount]]</f>
        <v>1235.088</v>
      </c>
      <c r="P110" t="str">
        <f>TEXT(Table1[[#This Row],[Order_Date]],"mmm")</f>
        <v>Mar</v>
      </c>
      <c r="Q110">
        <f>YEAR(Table1[[#This Row],[Order_Date]])</f>
        <v>2023</v>
      </c>
    </row>
    <row r="111" spans="1:17" x14ac:dyDescent="0.3">
      <c r="A111">
        <v>1110</v>
      </c>
      <c r="B111" t="s">
        <v>145</v>
      </c>
      <c r="C111" t="s">
        <v>65</v>
      </c>
      <c r="D111" t="s">
        <v>14</v>
      </c>
      <c r="E111" t="s">
        <v>15</v>
      </c>
      <c r="F111" t="s">
        <v>23</v>
      </c>
      <c r="G111">
        <v>10</v>
      </c>
      <c r="H111">
        <v>2900.71</v>
      </c>
      <c r="I111">
        <v>16</v>
      </c>
      <c r="J111" t="s">
        <v>39</v>
      </c>
      <c r="K111" t="s">
        <v>40</v>
      </c>
      <c r="L111" t="s">
        <v>30</v>
      </c>
      <c r="M111">
        <f>Table1[[#This Row],[Quantity]]*Table1[[#This Row],[Unit_Price]]</f>
        <v>29007.1</v>
      </c>
      <c r="N111">
        <f>Table1[[#This Row],[Sales amount]]*Table1[[#This Row],[Discount]]/100</f>
        <v>4641.1359999999995</v>
      </c>
      <c r="O111">
        <f>Table1[[#This Row],[Sales amount]]-Table1[[#This Row],[Discount amount]]</f>
        <v>24365.964</v>
      </c>
      <c r="P111" t="str">
        <f>TEXT(Table1[[#This Row],[Order_Date]],"mmm")</f>
        <v>Jan</v>
      </c>
      <c r="Q111">
        <f>YEAR(Table1[[#This Row],[Order_Date]])</f>
        <v>2023</v>
      </c>
    </row>
    <row r="112" spans="1:17" x14ac:dyDescent="0.3">
      <c r="A112">
        <v>1111</v>
      </c>
      <c r="B112" t="s">
        <v>45</v>
      </c>
      <c r="C112" t="s">
        <v>32</v>
      </c>
      <c r="D112" t="s">
        <v>22</v>
      </c>
      <c r="E112" t="s">
        <v>34</v>
      </c>
      <c r="F112" t="s">
        <v>23</v>
      </c>
      <c r="G112">
        <v>2</v>
      </c>
      <c r="H112">
        <v>4316.82</v>
      </c>
      <c r="I112">
        <v>6</v>
      </c>
      <c r="J112" t="s">
        <v>24</v>
      </c>
      <c r="K112" t="s">
        <v>29</v>
      </c>
      <c r="L112" t="s">
        <v>48</v>
      </c>
      <c r="M112">
        <f>Table1[[#This Row],[Quantity]]*Table1[[#This Row],[Unit_Price]]</f>
        <v>8633.64</v>
      </c>
      <c r="N112">
        <f>Table1[[#This Row],[Sales amount]]*Table1[[#This Row],[Discount]]/100</f>
        <v>518.01839999999993</v>
      </c>
      <c r="O112">
        <f>Table1[[#This Row],[Sales amount]]-Table1[[#This Row],[Discount amount]]</f>
        <v>8115.6215999999995</v>
      </c>
      <c r="P112" t="str">
        <f>TEXT(Table1[[#This Row],[Order_Date]],"mmm")</f>
        <v>Aug</v>
      </c>
      <c r="Q112">
        <f>YEAR(Table1[[#This Row],[Order_Date]])</f>
        <v>2023</v>
      </c>
    </row>
    <row r="113" spans="1:17" x14ac:dyDescent="0.3">
      <c r="A113">
        <v>1112</v>
      </c>
      <c r="B113" t="s">
        <v>146</v>
      </c>
      <c r="C113" t="s">
        <v>13</v>
      </c>
      <c r="D113" t="s">
        <v>43</v>
      </c>
      <c r="E113" t="s">
        <v>15</v>
      </c>
      <c r="F113" t="s">
        <v>16</v>
      </c>
      <c r="G113">
        <v>9</v>
      </c>
      <c r="H113">
        <v>3520.87</v>
      </c>
      <c r="I113">
        <v>17</v>
      </c>
      <c r="J113" t="s">
        <v>24</v>
      </c>
      <c r="K113" t="s">
        <v>40</v>
      </c>
      <c r="L113" t="s">
        <v>30</v>
      </c>
      <c r="M113">
        <f>Table1[[#This Row],[Quantity]]*Table1[[#This Row],[Unit_Price]]</f>
        <v>31687.829999999998</v>
      </c>
      <c r="N113">
        <f>Table1[[#This Row],[Sales amount]]*Table1[[#This Row],[Discount]]/100</f>
        <v>5386.9310999999998</v>
      </c>
      <c r="O113">
        <f>Table1[[#This Row],[Sales amount]]-Table1[[#This Row],[Discount amount]]</f>
        <v>26300.8989</v>
      </c>
      <c r="P113" t="str">
        <f>TEXT(Table1[[#This Row],[Order_Date]],"mmm")</f>
        <v>Nov</v>
      </c>
      <c r="Q113">
        <f>YEAR(Table1[[#This Row],[Order_Date]])</f>
        <v>2023</v>
      </c>
    </row>
    <row r="114" spans="1:17" x14ac:dyDescent="0.3">
      <c r="A114">
        <v>1113</v>
      </c>
      <c r="B114" t="s">
        <v>147</v>
      </c>
      <c r="C114" t="s">
        <v>13</v>
      </c>
      <c r="D114" t="s">
        <v>14</v>
      </c>
      <c r="E114" t="s">
        <v>15</v>
      </c>
      <c r="F114" t="s">
        <v>62</v>
      </c>
      <c r="G114">
        <v>6</v>
      </c>
      <c r="H114">
        <v>503.54</v>
      </c>
      <c r="I114">
        <v>0</v>
      </c>
      <c r="J114" t="s">
        <v>28</v>
      </c>
      <c r="K114" t="s">
        <v>18</v>
      </c>
      <c r="L114" t="s">
        <v>48</v>
      </c>
      <c r="M114">
        <f>Table1[[#This Row],[Quantity]]*Table1[[#This Row],[Unit_Price]]</f>
        <v>3021.2400000000002</v>
      </c>
      <c r="N114">
        <f>Table1[[#This Row],[Sales amount]]*Table1[[#This Row],[Discount]]/100</f>
        <v>0</v>
      </c>
      <c r="O114">
        <f>Table1[[#This Row],[Sales amount]]-Table1[[#This Row],[Discount amount]]</f>
        <v>3021.2400000000002</v>
      </c>
      <c r="P114" t="str">
        <f>TEXT(Table1[[#This Row],[Order_Date]],"mmm")</f>
        <v>Dec</v>
      </c>
      <c r="Q114">
        <f>YEAR(Table1[[#This Row],[Order_Date]])</f>
        <v>2023</v>
      </c>
    </row>
    <row r="115" spans="1:17" x14ac:dyDescent="0.3">
      <c r="A115">
        <v>1114</v>
      </c>
      <c r="B115" t="s">
        <v>148</v>
      </c>
      <c r="C115" t="s">
        <v>52</v>
      </c>
      <c r="D115" t="s">
        <v>14</v>
      </c>
      <c r="E115" t="s">
        <v>15</v>
      </c>
      <c r="F115" t="s">
        <v>44</v>
      </c>
      <c r="G115">
        <v>2</v>
      </c>
      <c r="H115">
        <v>4712.13</v>
      </c>
      <c r="I115">
        <v>22</v>
      </c>
      <c r="J115" t="s">
        <v>17</v>
      </c>
      <c r="K115" t="s">
        <v>40</v>
      </c>
      <c r="L115" t="s">
        <v>30</v>
      </c>
      <c r="M115">
        <f>Table1[[#This Row],[Quantity]]*Table1[[#This Row],[Unit_Price]]</f>
        <v>9424.26</v>
      </c>
      <c r="N115">
        <f>Table1[[#This Row],[Sales amount]]*Table1[[#This Row],[Discount]]/100</f>
        <v>2073.3371999999999</v>
      </c>
      <c r="O115">
        <f>Table1[[#This Row],[Sales amount]]-Table1[[#This Row],[Discount amount]]</f>
        <v>7350.9228000000003</v>
      </c>
      <c r="P115" t="str">
        <f>TEXT(Table1[[#This Row],[Order_Date]],"mmm")</f>
        <v>Jun</v>
      </c>
      <c r="Q115">
        <f>YEAR(Table1[[#This Row],[Order_Date]])</f>
        <v>2023</v>
      </c>
    </row>
    <row r="116" spans="1:17" x14ac:dyDescent="0.3">
      <c r="A116">
        <v>1115</v>
      </c>
      <c r="B116" t="s">
        <v>149</v>
      </c>
      <c r="C116" t="s">
        <v>21</v>
      </c>
      <c r="D116" t="s">
        <v>14</v>
      </c>
      <c r="E116" t="s">
        <v>34</v>
      </c>
      <c r="F116" t="s">
        <v>38</v>
      </c>
      <c r="G116">
        <v>6</v>
      </c>
      <c r="H116">
        <v>1792.05</v>
      </c>
      <c r="I116">
        <v>21</v>
      </c>
      <c r="J116" t="s">
        <v>24</v>
      </c>
      <c r="K116" t="s">
        <v>18</v>
      </c>
      <c r="L116" t="s">
        <v>30</v>
      </c>
      <c r="M116">
        <f>Table1[[#This Row],[Quantity]]*Table1[[#This Row],[Unit_Price]]</f>
        <v>10752.3</v>
      </c>
      <c r="N116">
        <f>Table1[[#This Row],[Sales amount]]*Table1[[#This Row],[Discount]]/100</f>
        <v>2257.9829999999997</v>
      </c>
      <c r="O116">
        <f>Table1[[#This Row],[Sales amount]]-Table1[[#This Row],[Discount amount]]</f>
        <v>8494.3169999999991</v>
      </c>
      <c r="P116" t="str">
        <f>TEXT(Table1[[#This Row],[Order_Date]],"mmm")</f>
        <v>Aug</v>
      </c>
      <c r="Q116">
        <f>YEAR(Table1[[#This Row],[Order_Date]])</f>
        <v>2023</v>
      </c>
    </row>
    <row r="117" spans="1:17" x14ac:dyDescent="0.3">
      <c r="A117">
        <v>1116</v>
      </c>
      <c r="B117" t="s">
        <v>150</v>
      </c>
      <c r="C117" t="s">
        <v>21</v>
      </c>
      <c r="D117" t="s">
        <v>22</v>
      </c>
      <c r="E117" t="s">
        <v>27</v>
      </c>
      <c r="F117" t="s">
        <v>44</v>
      </c>
      <c r="G117">
        <v>2</v>
      </c>
      <c r="H117">
        <v>4758.6400000000003</v>
      </c>
      <c r="I117">
        <v>0</v>
      </c>
      <c r="J117" t="s">
        <v>24</v>
      </c>
      <c r="K117" t="s">
        <v>18</v>
      </c>
      <c r="L117" t="s">
        <v>48</v>
      </c>
      <c r="M117">
        <f>Table1[[#This Row],[Quantity]]*Table1[[#This Row],[Unit_Price]]</f>
        <v>9517.2800000000007</v>
      </c>
      <c r="N117">
        <f>Table1[[#This Row],[Sales amount]]*Table1[[#This Row],[Discount]]/100</f>
        <v>0</v>
      </c>
      <c r="O117">
        <f>Table1[[#This Row],[Sales amount]]-Table1[[#This Row],[Discount amount]]</f>
        <v>9517.2800000000007</v>
      </c>
      <c r="P117" t="str">
        <f>TEXT(Table1[[#This Row],[Order_Date]],"mmm")</f>
        <v>Aug</v>
      </c>
      <c r="Q117">
        <f>YEAR(Table1[[#This Row],[Order_Date]])</f>
        <v>2023</v>
      </c>
    </row>
    <row r="118" spans="1:17" x14ac:dyDescent="0.3">
      <c r="A118">
        <v>1117</v>
      </c>
      <c r="B118" t="s">
        <v>151</v>
      </c>
      <c r="C118" t="s">
        <v>65</v>
      </c>
      <c r="D118" t="s">
        <v>47</v>
      </c>
      <c r="E118" t="s">
        <v>34</v>
      </c>
      <c r="F118" t="s">
        <v>38</v>
      </c>
      <c r="G118">
        <v>5</v>
      </c>
      <c r="H118">
        <v>780.44</v>
      </c>
      <c r="I118">
        <v>16</v>
      </c>
      <c r="J118" t="s">
        <v>24</v>
      </c>
      <c r="K118" t="s">
        <v>18</v>
      </c>
      <c r="L118" t="s">
        <v>30</v>
      </c>
      <c r="M118">
        <f>Table1[[#This Row],[Quantity]]*Table1[[#This Row],[Unit_Price]]</f>
        <v>3902.2000000000003</v>
      </c>
      <c r="N118">
        <f>Table1[[#This Row],[Sales amount]]*Table1[[#This Row],[Discount]]/100</f>
        <v>624.35200000000009</v>
      </c>
      <c r="O118">
        <f>Table1[[#This Row],[Sales amount]]-Table1[[#This Row],[Discount amount]]</f>
        <v>3277.848</v>
      </c>
      <c r="P118" t="str">
        <f>TEXT(Table1[[#This Row],[Order_Date]],"mmm")</f>
        <v>Feb</v>
      </c>
      <c r="Q118">
        <f>YEAR(Table1[[#This Row],[Order_Date]])</f>
        <v>2023</v>
      </c>
    </row>
    <row r="119" spans="1:17" x14ac:dyDescent="0.3">
      <c r="A119">
        <v>1118</v>
      </c>
      <c r="B119" t="s">
        <v>152</v>
      </c>
      <c r="C119" t="s">
        <v>46</v>
      </c>
      <c r="D119" t="s">
        <v>22</v>
      </c>
      <c r="E119" t="s">
        <v>34</v>
      </c>
      <c r="F119" t="s">
        <v>62</v>
      </c>
      <c r="G119">
        <v>2</v>
      </c>
      <c r="H119">
        <v>1049.4100000000001</v>
      </c>
      <c r="I119">
        <v>14</v>
      </c>
      <c r="J119" t="s">
        <v>39</v>
      </c>
      <c r="K119" t="s">
        <v>18</v>
      </c>
      <c r="L119" t="s">
        <v>19</v>
      </c>
      <c r="M119">
        <f>Table1[[#This Row],[Quantity]]*Table1[[#This Row],[Unit_Price]]</f>
        <v>2098.8200000000002</v>
      </c>
      <c r="N119">
        <f>Table1[[#This Row],[Sales amount]]*Table1[[#This Row],[Discount]]/100</f>
        <v>293.83480000000003</v>
      </c>
      <c r="O119">
        <f>Table1[[#This Row],[Sales amount]]-Table1[[#This Row],[Discount amount]]</f>
        <v>1804.9852000000001</v>
      </c>
      <c r="P119" t="str">
        <f>TEXT(Table1[[#This Row],[Order_Date]],"mmm")</f>
        <v>Jun</v>
      </c>
      <c r="Q119">
        <f>YEAR(Table1[[#This Row],[Order_Date]])</f>
        <v>2023</v>
      </c>
    </row>
    <row r="120" spans="1:17" x14ac:dyDescent="0.3">
      <c r="A120">
        <v>1119</v>
      </c>
      <c r="B120" t="s">
        <v>153</v>
      </c>
      <c r="C120" t="s">
        <v>46</v>
      </c>
      <c r="D120" t="s">
        <v>47</v>
      </c>
      <c r="E120" t="s">
        <v>27</v>
      </c>
      <c r="F120" t="s">
        <v>16</v>
      </c>
      <c r="G120">
        <v>9</v>
      </c>
      <c r="H120">
        <v>334.23</v>
      </c>
      <c r="I120">
        <v>14</v>
      </c>
      <c r="J120" t="s">
        <v>24</v>
      </c>
      <c r="K120" t="s">
        <v>40</v>
      </c>
      <c r="L120" t="s">
        <v>30</v>
      </c>
      <c r="M120">
        <f>Table1[[#This Row],[Quantity]]*Table1[[#This Row],[Unit_Price]]</f>
        <v>3008.07</v>
      </c>
      <c r="N120">
        <f>Table1[[#This Row],[Sales amount]]*Table1[[#This Row],[Discount]]/100</f>
        <v>421.12980000000005</v>
      </c>
      <c r="O120">
        <f>Table1[[#This Row],[Sales amount]]-Table1[[#This Row],[Discount amount]]</f>
        <v>2586.9402</v>
      </c>
      <c r="P120" t="str">
        <f>TEXT(Table1[[#This Row],[Order_Date]],"mmm")</f>
        <v>Sep</v>
      </c>
      <c r="Q120">
        <f>YEAR(Table1[[#This Row],[Order_Date]])</f>
        <v>2023</v>
      </c>
    </row>
    <row r="121" spans="1:17" x14ac:dyDescent="0.3">
      <c r="A121">
        <v>1120</v>
      </c>
      <c r="B121" t="s">
        <v>145</v>
      </c>
      <c r="C121" t="s">
        <v>65</v>
      </c>
      <c r="D121" t="s">
        <v>47</v>
      </c>
      <c r="E121" t="s">
        <v>15</v>
      </c>
      <c r="F121" t="s">
        <v>38</v>
      </c>
      <c r="G121">
        <v>4</v>
      </c>
      <c r="H121">
        <v>4698.49</v>
      </c>
      <c r="I121">
        <v>5</v>
      </c>
      <c r="J121" t="s">
        <v>28</v>
      </c>
      <c r="K121" t="s">
        <v>29</v>
      </c>
      <c r="L121" t="s">
        <v>19</v>
      </c>
      <c r="M121">
        <f>Table1[[#This Row],[Quantity]]*Table1[[#This Row],[Unit_Price]]</f>
        <v>18793.96</v>
      </c>
      <c r="N121">
        <f>Table1[[#This Row],[Sales amount]]*Table1[[#This Row],[Discount]]/100</f>
        <v>939.69799999999987</v>
      </c>
      <c r="O121">
        <f>Table1[[#This Row],[Sales amount]]-Table1[[#This Row],[Discount amount]]</f>
        <v>17854.261999999999</v>
      </c>
      <c r="P121" t="str">
        <f>TEXT(Table1[[#This Row],[Order_Date]],"mmm")</f>
        <v>Jan</v>
      </c>
      <c r="Q121">
        <f>YEAR(Table1[[#This Row],[Order_Date]])</f>
        <v>2023</v>
      </c>
    </row>
    <row r="122" spans="1:17" x14ac:dyDescent="0.3">
      <c r="A122">
        <v>1121</v>
      </c>
      <c r="B122" t="s">
        <v>154</v>
      </c>
      <c r="C122" t="s">
        <v>32</v>
      </c>
      <c r="D122" t="s">
        <v>33</v>
      </c>
      <c r="E122" t="s">
        <v>34</v>
      </c>
      <c r="F122" t="s">
        <v>35</v>
      </c>
      <c r="G122">
        <v>7</v>
      </c>
      <c r="H122">
        <v>2236.7199999999998</v>
      </c>
      <c r="I122">
        <v>8</v>
      </c>
      <c r="J122" t="s">
        <v>28</v>
      </c>
      <c r="K122" t="s">
        <v>29</v>
      </c>
      <c r="L122" t="s">
        <v>19</v>
      </c>
      <c r="M122">
        <f>Table1[[#This Row],[Quantity]]*Table1[[#This Row],[Unit_Price]]</f>
        <v>15657.039999999999</v>
      </c>
      <c r="N122">
        <f>Table1[[#This Row],[Sales amount]]*Table1[[#This Row],[Discount]]/100</f>
        <v>1252.5631999999998</v>
      </c>
      <c r="O122">
        <f>Table1[[#This Row],[Sales amount]]-Table1[[#This Row],[Discount amount]]</f>
        <v>14404.476799999999</v>
      </c>
      <c r="P122" t="str">
        <f>TEXT(Table1[[#This Row],[Order_Date]],"mmm")</f>
        <v>Dec</v>
      </c>
      <c r="Q122">
        <f>YEAR(Table1[[#This Row],[Order_Date]])</f>
        <v>2023</v>
      </c>
    </row>
    <row r="123" spans="1:17" x14ac:dyDescent="0.3">
      <c r="A123">
        <v>1122</v>
      </c>
      <c r="B123" t="s">
        <v>155</v>
      </c>
      <c r="C123" t="s">
        <v>46</v>
      </c>
      <c r="D123" t="s">
        <v>33</v>
      </c>
      <c r="E123" t="s">
        <v>34</v>
      </c>
      <c r="F123" t="s">
        <v>23</v>
      </c>
      <c r="G123">
        <v>4</v>
      </c>
      <c r="H123">
        <v>763.21</v>
      </c>
      <c r="I123">
        <v>25</v>
      </c>
      <c r="J123" t="s">
        <v>24</v>
      </c>
      <c r="K123" t="s">
        <v>29</v>
      </c>
      <c r="L123" t="s">
        <v>48</v>
      </c>
      <c r="M123">
        <f>Table1[[#This Row],[Quantity]]*Table1[[#This Row],[Unit_Price]]</f>
        <v>3052.84</v>
      </c>
      <c r="N123">
        <f>Table1[[#This Row],[Sales amount]]*Table1[[#This Row],[Discount]]/100</f>
        <v>763.21</v>
      </c>
      <c r="O123">
        <f>Table1[[#This Row],[Sales amount]]-Table1[[#This Row],[Discount amount]]</f>
        <v>2289.63</v>
      </c>
      <c r="P123" t="str">
        <f>TEXT(Table1[[#This Row],[Order_Date]],"mmm")</f>
        <v>Feb</v>
      </c>
      <c r="Q123">
        <f>YEAR(Table1[[#This Row],[Order_Date]])</f>
        <v>2023</v>
      </c>
    </row>
    <row r="124" spans="1:17" x14ac:dyDescent="0.3">
      <c r="A124">
        <v>1123</v>
      </c>
      <c r="B124" t="s">
        <v>156</v>
      </c>
      <c r="C124" t="s">
        <v>13</v>
      </c>
      <c r="D124" t="s">
        <v>22</v>
      </c>
      <c r="E124" t="s">
        <v>34</v>
      </c>
      <c r="F124" t="s">
        <v>38</v>
      </c>
      <c r="G124">
        <v>3</v>
      </c>
      <c r="H124">
        <v>4544.3100000000004</v>
      </c>
      <c r="I124">
        <v>5</v>
      </c>
      <c r="J124" t="s">
        <v>17</v>
      </c>
      <c r="K124" t="s">
        <v>40</v>
      </c>
      <c r="L124" t="s">
        <v>48</v>
      </c>
      <c r="M124">
        <f>Table1[[#This Row],[Quantity]]*Table1[[#This Row],[Unit_Price]]</f>
        <v>13632.93</v>
      </c>
      <c r="N124">
        <f>Table1[[#This Row],[Sales amount]]*Table1[[#This Row],[Discount]]/100</f>
        <v>681.64649999999995</v>
      </c>
      <c r="O124">
        <f>Table1[[#This Row],[Sales amount]]-Table1[[#This Row],[Discount amount]]</f>
        <v>12951.2835</v>
      </c>
      <c r="P124" t="str">
        <f>TEXT(Table1[[#This Row],[Order_Date]],"mmm")</f>
        <v>Aug</v>
      </c>
      <c r="Q124">
        <f>YEAR(Table1[[#This Row],[Order_Date]])</f>
        <v>2023</v>
      </c>
    </row>
    <row r="125" spans="1:17" x14ac:dyDescent="0.3">
      <c r="A125">
        <v>1124</v>
      </c>
      <c r="B125" t="s">
        <v>157</v>
      </c>
      <c r="C125" t="s">
        <v>46</v>
      </c>
      <c r="D125" t="s">
        <v>47</v>
      </c>
      <c r="E125" t="s">
        <v>15</v>
      </c>
      <c r="F125" t="s">
        <v>23</v>
      </c>
      <c r="G125">
        <v>6</v>
      </c>
      <c r="H125">
        <v>3687.8</v>
      </c>
      <c r="I125">
        <v>18</v>
      </c>
      <c r="J125" t="s">
        <v>39</v>
      </c>
      <c r="K125" t="s">
        <v>40</v>
      </c>
      <c r="L125" t="s">
        <v>19</v>
      </c>
      <c r="M125">
        <f>Table1[[#This Row],[Quantity]]*Table1[[#This Row],[Unit_Price]]</f>
        <v>22126.800000000003</v>
      </c>
      <c r="N125">
        <f>Table1[[#This Row],[Sales amount]]*Table1[[#This Row],[Discount]]/100</f>
        <v>3982.8240000000001</v>
      </c>
      <c r="O125">
        <f>Table1[[#This Row],[Sales amount]]-Table1[[#This Row],[Discount amount]]</f>
        <v>18143.976000000002</v>
      </c>
      <c r="P125" t="str">
        <f>TEXT(Table1[[#This Row],[Order_Date]],"mmm")</f>
        <v>Oct</v>
      </c>
      <c r="Q125">
        <f>YEAR(Table1[[#This Row],[Order_Date]])</f>
        <v>2023</v>
      </c>
    </row>
    <row r="126" spans="1:17" x14ac:dyDescent="0.3">
      <c r="A126">
        <v>1125</v>
      </c>
      <c r="B126" t="s">
        <v>158</v>
      </c>
      <c r="C126" t="s">
        <v>32</v>
      </c>
      <c r="D126" t="s">
        <v>22</v>
      </c>
      <c r="E126" t="s">
        <v>34</v>
      </c>
      <c r="F126" t="s">
        <v>16</v>
      </c>
      <c r="G126">
        <v>10</v>
      </c>
      <c r="H126">
        <v>4748.51</v>
      </c>
      <c r="I126">
        <v>15</v>
      </c>
      <c r="J126" t="s">
        <v>28</v>
      </c>
      <c r="K126" t="s">
        <v>18</v>
      </c>
      <c r="L126" t="s">
        <v>30</v>
      </c>
      <c r="M126">
        <f>Table1[[#This Row],[Quantity]]*Table1[[#This Row],[Unit_Price]]</f>
        <v>47485.100000000006</v>
      </c>
      <c r="N126">
        <f>Table1[[#This Row],[Sales amount]]*Table1[[#This Row],[Discount]]/100</f>
        <v>7122.7650000000012</v>
      </c>
      <c r="O126">
        <f>Table1[[#This Row],[Sales amount]]-Table1[[#This Row],[Discount amount]]</f>
        <v>40362.335000000006</v>
      </c>
      <c r="P126" t="str">
        <f>TEXT(Table1[[#This Row],[Order_Date]],"mmm")</f>
        <v>Nov</v>
      </c>
      <c r="Q126">
        <f>YEAR(Table1[[#This Row],[Order_Date]])</f>
        <v>2023</v>
      </c>
    </row>
    <row r="127" spans="1:17" x14ac:dyDescent="0.3">
      <c r="A127">
        <v>1126</v>
      </c>
      <c r="B127" t="s">
        <v>49</v>
      </c>
      <c r="C127" t="s">
        <v>42</v>
      </c>
      <c r="D127" t="s">
        <v>22</v>
      </c>
      <c r="E127" t="s">
        <v>15</v>
      </c>
      <c r="F127" t="s">
        <v>35</v>
      </c>
      <c r="G127">
        <v>5</v>
      </c>
      <c r="H127">
        <v>1997.37</v>
      </c>
      <c r="I127">
        <v>3</v>
      </c>
      <c r="J127" t="s">
        <v>28</v>
      </c>
      <c r="K127" t="s">
        <v>40</v>
      </c>
      <c r="L127" t="s">
        <v>30</v>
      </c>
      <c r="M127">
        <f>Table1[[#This Row],[Quantity]]*Table1[[#This Row],[Unit_Price]]</f>
        <v>9986.8499999999985</v>
      </c>
      <c r="N127">
        <f>Table1[[#This Row],[Sales amount]]*Table1[[#This Row],[Discount]]/100</f>
        <v>299.60549999999995</v>
      </c>
      <c r="O127">
        <f>Table1[[#This Row],[Sales amount]]-Table1[[#This Row],[Discount amount]]</f>
        <v>9687.2444999999989</v>
      </c>
      <c r="P127" t="str">
        <f>TEXT(Table1[[#This Row],[Order_Date]],"mmm")</f>
        <v>Feb</v>
      </c>
      <c r="Q127">
        <f>YEAR(Table1[[#This Row],[Order_Date]])</f>
        <v>2023</v>
      </c>
    </row>
    <row r="128" spans="1:17" x14ac:dyDescent="0.3">
      <c r="A128">
        <v>1127</v>
      </c>
      <c r="B128" t="s">
        <v>159</v>
      </c>
      <c r="C128" t="s">
        <v>42</v>
      </c>
      <c r="D128" t="s">
        <v>14</v>
      </c>
      <c r="E128" t="s">
        <v>15</v>
      </c>
      <c r="F128" t="s">
        <v>38</v>
      </c>
      <c r="G128">
        <v>4</v>
      </c>
      <c r="H128">
        <v>4781.63</v>
      </c>
      <c r="I128">
        <v>1</v>
      </c>
      <c r="J128" t="s">
        <v>17</v>
      </c>
      <c r="K128" t="s">
        <v>40</v>
      </c>
      <c r="L128" t="s">
        <v>19</v>
      </c>
      <c r="M128">
        <f>Table1[[#This Row],[Quantity]]*Table1[[#This Row],[Unit_Price]]</f>
        <v>19126.52</v>
      </c>
      <c r="N128">
        <f>Table1[[#This Row],[Sales amount]]*Table1[[#This Row],[Discount]]/100</f>
        <v>191.26519999999999</v>
      </c>
      <c r="O128">
        <f>Table1[[#This Row],[Sales amount]]-Table1[[#This Row],[Discount amount]]</f>
        <v>18935.254799999999</v>
      </c>
      <c r="P128" t="str">
        <f>TEXT(Table1[[#This Row],[Order_Date]],"mmm")</f>
        <v>Dec</v>
      </c>
      <c r="Q128">
        <f>YEAR(Table1[[#This Row],[Order_Date]])</f>
        <v>2023</v>
      </c>
    </row>
    <row r="129" spans="1:17" x14ac:dyDescent="0.3">
      <c r="A129">
        <v>1128</v>
      </c>
      <c r="B129" t="s">
        <v>81</v>
      </c>
      <c r="C129" t="s">
        <v>21</v>
      </c>
      <c r="D129" t="s">
        <v>33</v>
      </c>
      <c r="E129" t="s">
        <v>34</v>
      </c>
      <c r="F129" t="s">
        <v>62</v>
      </c>
      <c r="G129">
        <v>5</v>
      </c>
      <c r="H129">
        <v>4888.82</v>
      </c>
      <c r="I129">
        <v>2</v>
      </c>
      <c r="J129" t="s">
        <v>39</v>
      </c>
      <c r="K129" t="s">
        <v>29</v>
      </c>
      <c r="L129" t="s">
        <v>48</v>
      </c>
      <c r="M129">
        <f>Table1[[#This Row],[Quantity]]*Table1[[#This Row],[Unit_Price]]</f>
        <v>24444.1</v>
      </c>
      <c r="N129">
        <f>Table1[[#This Row],[Sales amount]]*Table1[[#This Row],[Discount]]/100</f>
        <v>488.88199999999995</v>
      </c>
      <c r="O129">
        <f>Table1[[#This Row],[Sales amount]]-Table1[[#This Row],[Discount amount]]</f>
        <v>23955.217999999997</v>
      </c>
      <c r="P129" t="str">
        <f>TEXT(Table1[[#This Row],[Order_Date]],"mmm")</f>
        <v>Jan</v>
      </c>
      <c r="Q129">
        <f>YEAR(Table1[[#This Row],[Order_Date]])</f>
        <v>2023</v>
      </c>
    </row>
    <row r="130" spans="1:17" x14ac:dyDescent="0.3">
      <c r="A130">
        <v>1129</v>
      </c>
      <c r="B130" t="s">
        <v>121</v>
      </c>
      <c r="C130" t="s">
        <v>54</v>
      </c>
      <c r="D130" t="s">
        <v>47</v>
      </c>
      <c r="E130" t="s">
        <v>27</v>
      </c>
      <c r="F130" t="s">
        <v>38</v>
      </c>
      <c r="G130">
        <v>5</v>
      </c>
      <c r="H130">
        <v>1009.43</v>
      </c>
      <c r="I130">
        <v>23</v>
      </c>
      <c r="J130" t="s">
        <v>17</v>
      </c>
      <c r="K130" t="s">
        <v>18</v>
      </c>
      <c r="L130" t="s">
        <v>48</v>
      </c>
      <c r="M130">
        <f>Table1[[#This Row],[Quantity]]*Table1[[#This Row],[Unit_Price]]</f>
        <v>5047.1499999999996</v>
      </c>
      <c r="N130">
        <f>Table1[[#This Row],[Sales amount]]*Table1[[#This Row],[Discount]]/100</f>
        <v>1160.8444999999999</v>
      </c>
      <c r="O130">
        <f>Table1[[#This Row],[Sales amount]]-Table1[[#This Row],[Discount amount]]</f>
        <v>3886.3054999999995</v>
      </c>
      <c r="P130" t="str">
        <f>TEXT(Table1[[#This Row],[Order_Date]],"mmm")</f>
        <v>May</v>
      </c>
      <c r="Q130">
        <f>YEAR(Table1[[#This Row],[Order_Date]])</f>
        <v>2023</v>
      </c>
    </row>
    <row r="131" spans="1:17" x14ac:dyDescent="0.3">
      <c r="A131">
        <v>1130</v>
      </c>
      <c r="B131" t="s">
        <v>160</v>
      </c>
      <c r="C131" t="s">
        <v>21</v>
      </c>
      <c r="D131" t="s">
        <v>47</v>
      </c>
      <c r="E131" t="s">
        <v>34</v>
      </c>
      <c r="F131" t="s">
        <v>35</v>
      </c>
      <c r="G131">
        <v>2</v>
      </c>
      <c r="H131">
        <v>3891.03</v>
      </c>
      <c r="I131">
        <v>18</v>
      </c>
      <c r="J131" t="s">
        <v>39</v>
      </c>
      <c r="K131" t="s">
        <v>29</v>
      </c>
      <c r="L131" t="s">
        <v>19</v>
      </c>
      <c r="M131">
        <f>Table1[[#This Row],[Quantity]]*Table1[[#This Row],[Unit_Price]]</f>
        <v>7782.06</v>
      </c>
      <c r="N131">
        <f>Table1[[#This Row],[Sales amount]]*Table1[[#This Row],[Discount]]/100</f>
        <v>1400.7708000000002</v>
      </c>
      <c r="O131">
        <f>Table1[[#This Row],[Sales amount]]-Table1[[#This Row],[Discount amount]]</f>
        <v>6381.2892000000002</v>
      </c>
      <c r="P131" t="str">
        <f>TEXT(Table1[[#This Row],[Order_Date]],"mmm")</f>
        <v>Jul</v>
      </c>
      <c r="Q131">
        <f>YEAR(Table1[[#This Row],[Order_Date]])</f>
        <v>2023</v>
      </c>
    </row>
    <row r="132" spans="1:17" x14ac:dyDescent="0.3">
      <c r="A132">
        <v>1131</v>
      </c>
      <c r="B132" t="s">
        <v>161</v>
      </c>
      <c r="C132" t="s">
        <v>32</v>
      </c>
      <c r="D132" t="s">
        <v>33</v>
      </c>
      <c r="E132" t="s">
        <v>15</v>
      </c>
      <c r="F132" t="s">
        <v>38</v>
      </c>
      <c r="G132">
        <v>3</v>
      </c>
      <c r="H132">
        <v>3016.08</v>
      </c>
      <c r="I132">
        <v>22</v>
      </c>
      <c r="J132" t="s">
        <v>24</v>
      </c>
      <c r="K132" t="s">
        <v>29</v>
      </c>
      <c r="L132" t="s">
        <v>30</v>
      </c>
      <c r="M132">
        <f>Table1[[#This Row],[Quantity]]*Table1[[#This Row],[Unit_Price]]</f>
        <v>9048.24</v>
      </c>
      <c r="N132">
        <f>Table1[[#This Row],[Sales amount]]*Table1[[#This Row],[Discount]]/100</f>
        <v>1990.6127999999999</v>
      </c>
      <c r="O132">
        <f>Table1[[#This Row],[Sales amount]]-Table1[[#This Row],[Discount amount]]</f>
        <v>7057.6271999999999</v>
      </c>
      <c r="P132" t="str">
        <f>TEXT(Table1[[#This Row],[Order_Date]],"mmm")</f>
        <v>Aug</v>
      </c>
      <c r="Q132">
        <f>YEAR(Table1[[#This Row],[Order_Date]])</f>
        <v>2023</v>
      </c>
    </row>
    <row r="133" spans="1:17" x14ac:dyDescent="0.3">
      <c r="A133">
        <v>1132</v>
      </c>
      <c r="B133" t="s">
        <v>162</v>
      </c>
      <c r="C133" t="s">
        <v>21</v>
      </c>
      <c r="D133" t="s">
        <v>47</v>
      </c>
      <c r="E133" t="s">
        <v>15</v>
      </c>
      <c r="F133" t="s">
        <v>16</v>
      </c>
      <c r="G133">
        <v>6</v>
      </c>
      <c r="H133">
        <v>1308.33</v>
      </c>
      <c r="I133">
        <v>19</v>
      </c>
      <c r="J133" t="s">
        <v>24</v>
      </c>
      <c r="K133" t="s">
        <v>29</v>
      </c>
      <c r="L133" t="s">
        <v>30</v>
      </c>
      <c r="M133">
        <f>Table1[[#This Row],[Quantity]]*Table1[[#This Row],[Unit_Price]]</f>
        <v>7849.98</v>
      </c>
      <c r="N133">
        <f>Table1[[#This Row],[Sales amount]]*Table1[[#This Row],[Discount]]/100</f>
        <v>1491.4962</v>
      </c>
      <c r="O133">
        <f>Table1[[#This Row],[Sales amount]]-Table1[[#This Row],[Discount amount]]</f>
        <v>6358.4838</v>
      </c>
      <c r="P133" t="str">
        <f>TEXT(Table1[[#This Row],[Order_Date]],"mmm")</f>
        <v>Feb</v>
      </c>
      <c r="Q133">
        <f>YEAR(Table1[[#This Row],[Order_Date]])</f>
        <v>2023</v>
      </c>
    </row>
    <row r="134" spans="1:17" x14ac:dyDescent="0.3">
      <c r="A134">
        <v>1133</v>
      </c>
      <c r="B134" t="s">
        <v>163</v>
      </c>
      <c r="C134" t="s">
        <v>52</v>
      </c>
      <c r="D134" t="s">
        <v>14</v>
      </c>
      <c r="E134" t="s">
        <v>15</v>
      </c>
      <c r="F134" t="s">
        <v>44</v>
      </c>
      <c r="G134">
        <v>5</v>
      </c>
      <c r="H134">
        <v>1111.25</v>
      </c>
      <c r="I134">
        <v>25</v>
      </c>
      <c r="J134" t="s">
        <v>28</v>
      </c>
      <c r="K134" t="s">
        <v>29</v>
      </c>
      <c r="L134" t="s">
        <v>30</v>
      </c>
      <c r="M134">
        <f>Table1[[#This Row],[Quantity]]*Table1[[#This Row],[Unit_Price]]</f>
        <v>5556.25</v>
      </c>
      <c r="N134">
        <f>Table1[[#This Row],[Sales amount]]*Table1[[#This Row],[Discount]]/100</f>
        <v>1389.0625</v>
      </c>
      <c r="O134">
        <f>Table1[[#This Row],[Sales amount]]-Table1[[#This Row],[Discount amount]]</f>
        <v>4167.1875</v>
      </c>
      <c r="P134" t="str">
        <f>TEXT(Table1[[#This Row],[Order_Date]],"mmm")</f>
        <v>Sep</v>
      </c>
      <c r="Q134">
        <f>YEAR(Table1[[#This Row],[Order_Date]])</f>
        <v>2023</v>
      </c>
    </row>
    <row r="135" spans="1:17" x14ac:dyDescent="0.3">
      <c r="A135">
        <v>1134</v>
      </c>
      <c r="B135" t="s">
        <v>49</v>
      </c>
      <c r="C135" t="s">
        <v>52</v>
      </c>
      <c r="D135" t="s">
        <v>43</v>
      </c>
      <c r="E135" t="s">
        <v>34</v>
      </c>
      <c r="F135" t="s">
        <v>62</v>
      </c>
      <c r="G135">
        <v>3</v>
      </c>
      <c r="H135">
        <v>2444.2199999999998</v>
      </c>
      <c r="I135">
        <v>22</v>
      </c>
      <c r="J135" t="s">
        <v>39</v>
      </c>
      <c r="K135" t="s">
        <v>18</v>
      </c>
      <c r="L135" t="s">
        <v>48</v>
      </c>
      <c r="M135">
        <f>Table1[[#This Row],[Quantity]]*Table1[[#This Row],[Unit_Price]]</f>
        <v>7332.66</v>
      </c>
      <c r="N135">
        <f>Table1[[#This Row],[Sales amount]]*Table1[[#This Row],[Discount]]/100</f>
        <v>1613.1851999999999</v>
      </c>
      <c r="O135">
        <f>Table1[[#This Row],[Sales amount]]-Table1[[#This Row],[Discount amount]]</f>
        <v>5719.4748</v>
      </c>
      <c r="P135" t="str">
        <f>TEXT(Table1[[#This Row],[Order_Date]],"mmm")</f>
        <v>Feb</v>
      </c>
      <c r="Q135">
        <f>YEAR(Table1[[#This Row],[Order_Date]])</f>
        <v>2023</v>
      </c>
    </row>
    <row r="136" spans="1:17" x14ac:dyDescent="0.3">
      <c r="A136">
        <v>1135</v>
      </c>
      <c r="B136" t="s">
        <v>154</v>
      </c>
      <c r="C136" t="s">
        <v>46</v>
      </c>
      <c r="D136" t="s">
        <v>33</v>
      </c>
      <c r="E136" t="s">
        <v>34</v>
      </c>
      <c r="F136" t="s">
        <v>44</v>
      </c>
      <c r="G136">
        <v>1</v>
      </c>
      <c r="H136">
        <v>2203.7199999999998</v>
      </c>
      <c r="I136">
        <v>2</v>
      </c>
      <c r="J136" t="s">
        <v>28</v>
      </c>
      <c r="K136" t="s">
        <v>18</v>
      </c>
      <c r="L136" t="s">
        <v>30</v>
      </c>
      <c r="M136">
        <f>Table1[[#This Row],[Quantity]]*Table1[[#This Row],[Unit_Price]]</f>
        <v>2203.7199999999998</v>
      </c>
      <c r="N136">
        <f>Table1[[#This Row],[Sales amount]]*Table1[[#This Row],[Discount]]/100</f>
        <v>44.074399999999997</v>
      </c>
      <c r="O136">
        <f>Table1[[#This Row],[Sales amount]]-Table1[[#This Row],[Discount amount]]</f>
        <v>2159.6455999999998</v>
      </c>
      <c r="P136" t="str">
        <f>TEXT(Table1[[#This Row],[Order_Date]],"mmm")</f>
        <v>Dec</v>
      </c>
      <c r="Q136">
        <f>YEAR(Table1[[#This Row],[Order_Date]])</f>
        <v>2023</v>
      </c>
    </row>
    <row r="137" spans="1:17" x14ac:dyDescent="0.3">
      <c r="A137">
        <v>1136</v>
      </c>
      <c r="B137" t="s">
        <v>107</v>
      </c>
      <c r="C137" t="s">
        <v>13</v>
      </c>
      <c r="D137" t="s">
        <v>14</v>
      </c>
      <c r="E137" t="s">
        <v>34</v>
      </c>
      <c r="F137" t="s">
        <v>35</v>
      </c>
      <c r="G137">
        <v>10</v>
      </c>
      <c r="H137">
        <v>3452.08</v>
      </c>
      <c r="I137">
        <v>11</v>
      </c>
      <c r="J137" t="s">
        <v>17</v>
      </c>
      <c r="K137" t="s">
        <v>18</v>
      </c>
      <c r="L137" t="s">
        <v>19</v>
      </c>
      <c r="M137">
        <f>Table1[[#This Row],[Quantity]]*Table1[[#This Row],[Unit_Price]]</f>
        <v>34520.800000000003</v>
      </c>
      <c r="N137">
        <f>Table1[[#This Row],[Sales amount]]*Table1[[#This Row],[Discount]]/100</f>
        <v>3797.2880000000005</v>
      </c>
      <c r="O137">
        <f>Table1[[#This Row],[Sales amount]]-Table1[[#This Row],[Discount amount]]</f>
        <v>30723.512000000002</v>
      </c>
      <c r="P137" t="str">
        <f>TEXT(Table1[[#This Row],[Order_Date]],"mmm")</f>
        <v>Dec</v>
      </c>
      <c r="Q137">
        <f>YEAR(Table1[[#This Row],[Order_Date]])</f>
        <v>2023</v>
      </c>
    </row>
    <row r="138" spans="1:17" x14ac:dyDescent="0.3">
      <c r="A138">
        <v>1137</v>
      </c>
      <c r="B138" t="s">
        <v>164</v>
      </c>
      <c r="C138" t="s">
        <v>46</v>
      </c>
      <c r="D138" t="s">
        <v>47</v>
      </c>
      <c r="E138" t="s">
        <v>27</v>
      </c>
      <c r="F138" t="s">
        <v>35</v>
      </c>
      <c r="G138">
        <v>9</v>
      </c>
      <c r="H138">
        <v>3439.96</v>
      </c>
      <c r="I138">
        <v>24</v>
      </c>
      <c r="J138" t="s">
        <v>39</v>
      </c>
      <c r="K138" t="s">
        <v>18</v>
      </c>
      <c r="L138" t="s">
        <v>19</v>
      </c>
      <c r="M138">
        <f>Table1[[#This Row],[Quantity]]*Table1[[#This Row],[Unit_Price]]</f>
        <v>30959.64</v>
      </c>
      <c r="N138">
        <f>Table1[[#This Row],[Sales amount]]*Table1[[#This Row],[Discount]]/100</f>
        <v>7430.3135999999995</v>
      </c>
      <c r="O138">
        <f>Table1[[#This Row],[Sales amount]]-Table1[[#This Row],[Discount amount]]</f>
        <v>23529.326399999998</v>
      </c>
      <c r="P138" t="str">
        <f>TEXT(Table1[[#This Row],[Order_Date]],"mmm")</f>
        <v>Sep</v>
      </c>
      <c r="Q138">
        <f>YEAR(Table1[[#This Row],[Order_Date]])</f>
        <v>2023</v>
      </c>
    </row>
    <row r="139" spans="1:17" x14ac:dyDescent="0.3">
      <c r="A139">
        <v>1138</v>
      </c>
      <c r="B139" t="s">
        <v>165</v>
      </c>
      <c r="C139" t="s">
        <v>32</v>
      </c>
      <c r="D139" t="s">
        <v>14</v>
      </c>
      <c r="E139" t="s">
        <v>27</v>
      </c>
      <c r="F139" t="s">
        <v>44</v>
      </c>
      <c r="G139">
        <v>2</v>
      </c>
      <c r="H139">
        <v>1493.28</v>
      </c>
      <c r="I139">
        <v>13</v>
      </c>
      <c r="J139" t="s">
        <v>24</v>
      </c>
      <c r="K139" t="s">
        <v>29</v>
      </c>
      <c r="L139" t="s">
        <v>19</v>
      </c>
      <c r="M139">
        <f>Table1[[#This Row],[Quantity]]*Table1[[#This Row],[Unit_Price]]</f>
        <v>2986.56</v>
      </c>
      <c r="N139">
        <f>Table1[[#This Row],[Sales amount]]*Table1[[#This Row],[Discount]]/100</f>
        <v>388.25279999999998</v>
      </c>
      <c r="O139">
        <f>Table1[[#This Row],[Sales amount]]-Table1[[#This Row],[Discount amount]]</f>
        <v>2598.3072000000002</v>
      </c>
      <c r="P139" t="str">
        <f>TEXT(Table1[[#This Row],[Order_Date]],"mmm")</f>
        <v>Apr</v>
      </c>
      <c r="Q139">
        <f>YEAR(Table1[[#This Row],[Order_Date]])</f>
        <v>2023</v>
      </c>
    </row>
    <row r="140" spans="1:17" x14ac:dyDescent="0.3">
      <c r="A140">
        <v>1139</v>
      </c>
      <c r="B140" t="s">
        <v>136</v>
      </c>
      <c r="C140" t="s">
        <v>21</v>
      </c>
      <c r="D140" t="s">
        <v>33</v>
      </c>
      <c r="E140" t="s">
        <v>27</v>
      </c>
      <c r="F140" t="s">
        <v>23</v>
      </c>
      <c r="G140">
        <v>10</v>
      </c>
      <c r="H140">
        <v>891.63</v>
      </c>
      <c r="I140">
        <v>3</v>
      </c>
      <c r="J140" t="s">
        <v>39</v>
      </c>
      <c r="K140" t="s">
        <v>40</v>
      </c>
      <c r="L140" t="s">
        <v>48</v>
      </c>
      <c r="M140">
        <f>Table1[[#This Row],[Quantity]]*Table1[[#This Row],[Unit_Price]]</f>
        <v>8916.2999999999993</v>
      </c>
      <c r="N140">
        <f>Table1[[#This Row],[Sales amount]]*Table1[[#This Row],[Discount]]/100</f>
        <v>267.48899999999998</v>
      </c>
      <c r="O140">
        <f>Table1[[#This Row],[Sales amount]]-Table1[[#This Row],[Discount amount]]</f>
        <v>8648.8109999999997</v>
      </c>
      <c r="P140" t="str">
        <f>TEXT(Table1[[#This Row],[Order_Date]],"mmm")</f>
        <v>Apr</v>
      </c>
      <c r="Q140">
        <f>YEAR(Table1[[#This Row],[Order_Date]])</f>
        <v>2023</v>
      </c>
    </row>
    <row r="141" spans="1:17" x14ac:dyDescent="0.3">
      <c r="A141">
        <v>1140</v>
      </c>
      <c r="B141" t="s">
        <v>55</v>
      </c>
      <c r="C141" t="s">
        <v>52</v>
      </c>
      <c r="D141" t="s">
        <v>47</v>
      </c>
      <c r="E141" t="s">
        <v>34</v>
      </c>
      <c r="F141" t="s">
        <v>35</v>
      </c>
      <c r="G141">
        <v>8</v>
      </c>
      <c r="H141">
        <v>1478.34</v>
      </c>
      <c r="I141">
        <v>23</v>
      </c>
      <c r="J141" t="s">
        <v>39</v>
      </c>
      <c r="K141" t="s">
        <v>40</v>
      </c>
      <c r="L141" t="s">
        <v>19</v>
      </c>
      <c r="M141">
        <f>Table1[[#This Row],[Quantity]]*Table1[[#This Row],[Unit_Price]]</f>
        <v>11826.72</v>
      </c>
      <c r="N141">
        <f>Table1[[#This Row],[Sales amount]]*Table1[[#This Row],[Discount]]/100</f>
        <v>2720.1455999999998</v>
      </c>
      <c r="O141">
        <f>Table1[[#This Row],[Sales amount]]-Table1[[#This Row],[Discount amount]]</f>
        <v>9106.5743999999995</v>
      </c>
      <c r="P141" t="str">
        <f>TEXT(Table1[[#This Row],[Order_Date]],"mmm")</f>
        <v>Jun</v>
      </c>
      <c r="Q141">
        <f>YEAR(Table1[[#This Row],[Order_Date]])</f>
        <v>2023</v>
      </c>
    </row>
    <row r="142" spans="1:17" x14ac:dyDescent="0.3">
      <c r="A142">
        <v>1141</v>
      </c>
      <c r="B142" t="s">
        <v>166</v>
      </c>
      <c r="C142" t="s">
        <v>52</v>
      </c>
      <c r="D142" t="s">
        <v>14</v>
      </c>
      <c r="E142" t="s">
        <v>27</v>
      </c>
      <c r="F142" t="s">
        <v>35</v>
      </c>
      <c r="G142">
        <v>10</v>
      </c>
      <c r="H142">
        <v>3495.07</v>
      </c>
      <c r="I142">
        <v>3</v>
      </c>
      <c r="J142" t="s">
        <v>17</v>
      </c>
      <c r="K142" t="s">
        <v>29</v>
      </c>
      <c r="L142" t="s">
        <v>48</v>
      </c>
      <c r="M142">
        <f>Table1[[#This Row],[Quantity]]*Table1[[#This Row],[Unit_Price]]</f>
        <v>34950.700000000004</v>
      </c>
      <c r="N142">
        <f>Table1[[#This Row],[Sales amount]]*Table1[[#This Row],[Discount]]/100</f>
        <v>1048.521</v>
      </c>
      <c r="O142">
        <f>Table1[[#This Row],[Sales amount]]-Table1[[#This Row],[Discount amount]]</f>
        <v>33902.179000000004</v>
      </c>
      <c r="P142" t="str">
        <f>TEXT(Table1[[#This Row],[Order_Date]],"mmm")</f>
        <v>Apr</v>
      </c>
      <c r="Q142">
        <f>YEAR(Table1[[#This Row],[Order_Date]])</f>
        <v>2023</v>
      </c>
    </row>
    <row r="143" spans="1:17" x14ac:dyDescent="0.3">
      <c r="A143">
        <v>1142</v>
      </c>
      <c r="B143" t="s">
        <v>167</v>
      </c>
      <c r="C143" t="s">
        <v>32</v>
      </c>
      <c r="D143" t="s">
        <v>22</v>
      </c>
      <c r="E143" t="s">
        <v>15</v>
      </c>
      <c r="F143" t="s">
        <v>35</v>
      </c>
      <c r="G143">
        <v>4</v>
      </c>
      <c r="H143">
        <v>3713.46</v>
      </c>
      <c r="I143">
        <v>5</v>
      </c>
      <c r="J143" t="s">
        <v>39</v>
      </c>
      <c r="K143" t="s">
        <v>29</v>
      </c>
      <c r="L143" t="s">
        <v>30</v>
      </c>
      <c r="M143">
        <f>Table1[[#This Row],[Quantity]]*Table1[[#This Row],[Unit_Price]]</f>
        <v>14853.84</v>
      </c>
      <c r="N143">
        <f>Table1[[#This Row],[Sales amount]]*Table1[[#This Row],[Discount]]/100</f>
        <v>742.69200000000001</v>
      </c>
      <c r="O143">
        <f>Table1[[#This Row],[Sales amount]]-Table1[[#This Row],[Discount amount]]</f>
        <v>14111.148000000001</v>
      </c>
      <c r="P143" t="str">
        <f>TEXT(Table1[[#This Row],[Order_Date]],"mmm")</f>
        <v>Dec</v>
      </c>
      <c r="Q143">
        <f>YEAR(Table1[[#This Row],[Order_Date]])</f>
        <v>2023</v>
      </c>
    </row>
    <row r="144" spans="1:17" x14ac:dyDescent="0.3">
      <c r="A144">
        <v>1143</v>
      </c>
      <c r="B144" t="s">
        <v>168</v>
      </c>
      <c r="C144" t="s">
        <v>46</v>
      </c>
      <c r="D144" t="s">
        <v>22</v>
      </c>
      <c r="E144" t="s">
        <v>34</v>
      </c>
      <c r="F144" t="s">
        <v>38</v>
      </c>
      <c r="G144">
        <v>3</v>
      </c>
      <c r="H144">
        <v>820.92</v>
      </c>
      <c r="I144">
        <v>14</v>
      </c>
      <c r="J144" t="s">
        <v>17</v>
      </c>
      <c r="K144" t="s">
        <v>29</v>
      </c>
      <c r="L144" t="s">
        <v>48</v>
      </c>
      <c r="M144">
        <f>Table1[[#This Row],[Quantity]]*Table1[[#This Row],[Unit_Price]]</f>
        <v>2462.7599999999998</v>
      </c>
      <c r="N144">
        <f>Table1[[#This Row],[Sales amount]]*Table1[[#This Row],[Discount]]/100</f>
        <v>344.78640000000001</v>
      </c>
      <c r="O144">
        <f>Table1[[#This Row],[Sales amount]]-Table1[[#This Row],[Discount amount]]</f>
        <v>2117.9735999999998</v>
      </c>
      <c r="P144" t="str">
        <f>TEXT(Table1[[#This Row],[Order_Date]],"mmm")</f>
        <v>Feb</v>
      </c>
      <c r="Q144">
        <f>YEAR(Table1[[#This Row],[Order_Date]])</f>
        <v>2023</v>
      </c>
    </row>
    <row r="145" spans="1:17" x14ac:dyDescent="0.3">
      <c r="A145">
        <v>1144</v>
      </c>
      <c r="B145" t="s">
        <v>169</v>
      </c>
      <c r="C145" t="s">
        <v>32</v>
      </c>
      <c r="D145" t="s">
        <v>47</v>
      </c>
      <c r="E145" t="s">
        <v>27</v>
      </c>
      <c r="F145" t="s">
        <v>62</v>
      </c>
      <c r="G145">
        <v>6</v>
      </c>
      <c r="H145">
        <v>1171.05</v>
      </c>
      <c r="I145">
        <v>14</v>
      </c>
      <c r="J145" t="s">
        <v>39</v>
      </c>
      <c r="K145" t="s">
        <v>40</v>
      </c>
      <c r="L145" t="s">
        <v>48</v>
      </c>
      <c r="M145">
        <f>Table1[[#This Row],[Quantity]]*Table1[[#This Row],[Unit_Price]]</f>
        <v>7026.2999999999993</v>
      </c>
      <c r="N145">
        <f>Table1[[#This Row],[Sales amount]]*Table1[[#This Row],[Discount]]/100</f>
        <v>983.68199999999979</v>
      </c>
      <c r="O145">
        <f>Table1[[#This Row],[Sales amount]]-Table1[[#This Row],[Discount amount]]</f>
        <v>6042.6179999999995</v>
      </c>
      <c r="P145" t="str">
        <f>TEXT(Table1[[#This Row],[Order_Date]],"mmm")</f>
        <v>Jun</v>
      </c>
      <c r="Q145">
        <f>YEAR(Table1[[#This Row],[Order_Date]])</f>
        <v>2023</v>
      </c>
    </row>
    <row r="146" spans="1:17" x14ac:dyDescent="0.3">
      <c r="A146">
        <v>1145</v>
      </c>
      <c r="B146" t="s">
        <v>170</v>
      </c>
      <c r="C146" t="s">
        <v>65</v>
      </c>
      <c r="D146" t="s">
        <v>43</v>
      </c>
      <c r="E146" t="s">
        <v>34</v>
      </c>
      <c r="F146" t="s">
        <v>62</v>
      </c>
      <c r="G146">
        <v>1</v>
      </c>
      <c r="H146">
        <v>2312.4899999999998</v>
      </c>
      <c r="I146">
        <v>18</v>
      </c>
      <c r="J146" t="s">
        <v>39</v>
      </c>
      <c r="K146" t="s">
        <v>40</v>
      </c>
      <c r="L146" t="s">
        <v>30</v>
      </c>
      <c r="M146">
        <f>Table1[[#This Row],[Quantity]]*Table1[[#This Row],[Unit_Price]]</f>
        <v>2312.4899999999998</v>
      </c>
      <c r="N146">
        <f>Table1[[#This Row],[Sales amount]]*Table1[[#This Row],[Discount]]/100</f>
        <v>416.24819999999994</v>
      </c>
      <c r="O146">
        <f>Table1[[#This Row],[Sales amount]]-Table1[[#This Row],[Discount amount]]</f>
        <v>1896.2417999999998</v>
      </c>
      <c r="P146" t="str">
        <f>TEXT(Table1[[#This Row],[Order_Date]],"mmm")</f>
        <v>Jun</v>
      </c>
      <c r="Q146">
        <f>YEAR(Table1[[#This Row],[Order_Date]])</f>
        <v>2023</v>
      </c>
    </row>
    <row r="147" spans="1:17" x14ac:dyDescent="0.3">
      <c r="A147">
        <v>1146</v>
      </c>
      <c r="B147" t="s">
        <v>171</v>
      </c>
      <c r="C147" t="s">
        <v>32</v>
      </c>
      <c r="D147" t="s">
        <v>22</v>
      </c>
      <c r="E147" t="s">
        <v>27</v>
      </c>
      <c r="F147" t="s">
        <v>35</v>
      </c>
      <c r="G147">
        <v>10</v>
      </c>
      <c r="H147">
        <v>4519.79</v>
      </c>
      <c r="I147">
        <v>15</v>
      </c>
      <c r="J147" t="s">
        <v>39</v>
      </c>
      <c r="K147" t="s">
        <v>40</v>
      </c>
      <c r="L147" t="s">
        <v>48</v>
      </c>
      <c r="M147">
        <f>Table1[[#This Row],[Quantity]]*Table1[[#This Row],[Unit_Price]]</f>
        <v>45197.9</v>
      </c>
      <c r="N147">
        <f>Table1[[#This Row],[Sales amount]]*Table1[[#This Row],[Discount]]/100</f>
        <v>6779.6850000000004</v>
      </c>
      <c r="O147">
        <f>Table1[[#This Row],[Sales amount]]-Table1[[#This Row],[Discount amount]]</f>
        <v>38418.215000000004</v>
      </c>
      <c r="P147" t="str">
        <f>TEXT(Table1[[#This Row],[Order_Date]],"mmm")</f>
        <v>Feb</v>
      </c>
      <c r="Q147">
        <f>YEAR(Table1[[#This Row],[Order_Date]])</f>
        <v>2023</v>
      </c>
    </row>
    <row r="148" spans="1:17" x14ac:dyDescent="0.3">
      <c r="A148">
        <v>1147</v>
      </c>
      <c r="B148" t="s">
        <v>95</v>
      </c>
      <c r="C148" t="s">
        <v>32</v>
      </c>
      <c r="D148" t="s">
        <v>14</v>
      </c>
      <c r="E148" t="s">
        <v>15</v>
      </c>
      <c r="F148" t="s">
        <v>62</v>
      </c>
      <c r="G148">
        <v>8</v>
      </c>
      <c r="H148">
        <v>332.45</v>
      </c>
      <c r="I148">
        <v>23</v>
      </c>
      <c r="J148" t="s">
        <v>24</v>
      </c>
      <c r="K148" t="s">
        <v>18</v>
      </c>
      <c r="L148" t="s">
        <v>19</v>
      </c>
      <c r="M148">
        <f>Table1[[#This Row],[Quantity]]*Table1[[#This Row],[Unit_Price]]</f>
        <v>2659.6</v>
      </c>
      <c r="N148">
        <f>Table1[[#This Row],[Sales amount]]*Table1[[#This Row],[Discount]]/100</f>
        <v>611.70799999999997</v>
      </c>
      <c r="O148">
        <f>Table1[[#This Row],[Sales amount]]-Table1[[#This Row],[Discount amount]]</f>
        <v>2047.8919999999998</v>
      </c>
      <c r="P148" t="str">
        <f>TEXT(Table1[[#This Row],[Order_Date]],"mmm")</f>
        <v>Apr</v>
      </c>
      <c r="Q148">
        <f>YEAR(Table1[[#This Row],[Order_Date]])</f>
        <v>2023</v>
      </c>
    </row>
    <row r="149" spans="1:17" x14ac:dyDescent="0.3">
      <c r="A149">
        <v>1148</v>
      </c>
      <c r="B149" t="s">
        <v>172</v>
      </c>
      <c r="C149" t="s">
        <v>46</v>
      </c>
      <c r="D149" t="s">
        <v>33</v>
      </c>
      <c r="E149" t="s">
        <v>27</v>
      </c>
      <c r="F149" t="s">
        <v>23</v>
      </c>
      <c r="G149">
        <v>5</v>
      </c>
      <c r="H149">
        <v>2620.89</v>
      </c>
      <c r="I149">
        <v>24</v>
      </c>
      <c r="J149" t="s">
        <v>24</v>
      </c>
      <c r="K149" t="s">
        <v>40</v>
      </c>
      <c r="L149" t="s">
        <v>19</v>
      </c>
      <c r="M149">
        <f>Table1[[#This Row],[Quantity]]*Table1[[#This Row],[Unit_Price]]</f>
        <v>13104.449999999999</v>
      </c>
      <c r="N149">
        <f>Table1[[#This Row],[Sales amount]]*Table1[[#This Row],[Discount]]/100</f>
        <v>3145.0679999999998</v>
      </c>
      <c r="O149">
        <f>Table1[[#This Row],[Sales amount]]-Table1[[#This Row],[Discount amount]]</f>
        <v>9959.3819999999996</v>
      </c>
      <c r="P149" t="str">
        <f>TEXT(Table1[[#This Row],[Order_Date]],"mmm")</f>
        <v>Mar</v>
      </c>
      <c r="Q149">
        <f>YEAR(Table1[[#This Row],[Order_Date]])</f>
        <v>2023</v>
      </c>
    </row>
    <row r="150" spans="1:17" x14ac:dyDescent="0.3">
      <c r="A150">
        <v>1149</v>
      </c>
      <c r="B150" t="s">
        <v>173</v>
      </c>
      <c r="C150" t="s">
        <v>42</v>
      </c>
      <c r="D150" t="s">
        <v>33</v>
      </c>
      <c r="E150" t="s">
        <v>27</v>
      </c>
      <c r="F150" t="s">
        <v>16</v>
      </c>
      <c r="G150">
        <v>7</v>
      </c>
      <c r="H150">
        <v>214.86</v>
      </c>
      <c r="I150">
        <v>0</v>
      </c>
      <c r="J150" t="s">
        <v>39</v>
      </c>
      <c r="K150" t="s">
        <v>18</v>
      </c>
      <c r="L150" t="s">
        <v>19</v>
      </c>
      <c r="M150">
        <f>Table1[[#This Row],[Quantity]]*Table1[[#This Row],[Unit_Price]]</f>
        <v>1504.02</v>
      </c>
      <c r="N150">
        <f>Table1[[#This Row],[Sales amount]]*Table1[[#This Row],[Discount]]/100</f>
        <v>0</v>
      </c>
      <c r="O150">
        <f>Table1[[#This Row],[Sales amount]]-Table1[[#This Row],[Discount amount]]</f>
        <v>1504.02</v>
      </c>
      <c r="P150" t="str">
        <f>TEXT(Table1[[#This Row],[Order_Date]],"mmm")</f>
        <v>Nov</v>
      </c>
      <c r="Q150">
        <f>YEAR(Table1[[#This Row],[Order_Date]])</f>
        <v>2023</v>
      </c>
    </row>
    <row r="151" spans="1:17" x14ac:dyDescent="0.3">
      <c r="A151">
        <v>1150</v>
      </c>
      <c r="B151" t="s">
        <v>174</v>
      </c>
      <c r="C151" t="s">
        <v>65</v>
      </c>
      <c r="D151" t="s">
        <v>22</v>
      </c>
      <c r="E151" t="s">
        <v>27</v>
      </c>
      <c r="F151" t="s">
        <v>38</v>
      </c>
      <c r="G151">
        <v>8</v>
      </c>
      <c r="H151">
        <v>3938.8</v>
      </c>
      <c r="I151">
        <v>29</v>
      </c>
      <c r="J151" t="s">
        <v>39</v>
      </c>
      <c r="K151" t="s">
        <v>18</v>
      </c>
      <c r="L151" t="s">
        <v>30</v>
      </c>
      <c r="M151">
        <f>Table1[[#This Row],[Quantity]]*Table1[[#This Row],[Unit_Price]]</f>
        <v>31510.400000000001</v>
      </c>
      <c r="N151">
        <f>Table1[[#This Row],[Sales amount]]*Table1[[#This Row],[Discount]]/100</f>
        <v>9138.0160000000014</v>
      </c>
      <c r="O151">
        <f>Table1[[#This Row],[Sales amount]]-Table1[[#This Row],[Discount amount]]</f>
        <v>22372.383999999998</v>
      </c>
      <c r="P151" t="str">
        <f>TEXT(Table1[[#This Row],[Order_Date]],"mmm")</f>
        <v>Jul</v>
      </c>
      <c r="Q151">
        <f>YEAR(Table1[[#This Row],[Order_Date]])</f>
        <v>2023</v>
      </c>
    </row>
    <row r="152" spans="1:17" x14ac:dyDescent="0.3">
      <c r="A152">
        <v>1151</v>
      </c>
      <c r="B152" t="s">
        <v>96</v>
      </c>
      <c r="C152" t="s">
        <v>32</v>
      </c>
      <c r="D152" t="s">
        <v>14</v>
      </c>
      <c r="E152" t="s">
        <v>15</v>
      </c>
      <c r="F152" t="s">
        <v>16</v>
      </c>
      <c r="G152">
        <v>7</v>
      </c>
      <c r="H152">
        <v>2377.87</v>
      </c>
      <c r="I152">
        <v>3</v>
      </c>
      <c r="J152" t="s">
        <v>39</v>
      </c>
      <c r="K152" t="s">
        <v>29</v>
      </c>
      <c r="L152" t="s">
        <v>30</v>
      </c>
      <c r="M152">
        <f>Table1[[#This Row],[Quantity]]*Table1[[#This Row],[Unit_Price]]</f>
        <v>16645.09</v>
      </c>
      <c r="N152">
        <f>Table1[[#This Row],[Sales amount]]*Table1[[#This Row],[Discount]]/100</f>
        <v>499.35270000000003</v>
      </c>
      <c r="O152">
        <f>Table1[[#This Row],[Sales amount]]-Table1[[#This Row],[Discount amount]]</f>
        <v>16145.737300000001</v>
      </c>
      <c r="P152" t="str">
        <f>TEXT(Table1[[#This Row],[Order_Date]],"mmm")</f>
        <v>Jul</v>
      </c>
      <c r="Q152">
        <f>YEAR(Table1[[#This Row],[Order_Date]])</f>
        <v>2023</v>
      </c>
    </row>
    <row r="153" spans="1:17" x14ac:dyDescent="0.3">
      <c r="A153">
        <v>1152</v>
      </c>
      <c r="B153" t="s">
        <v>175</v>
      </c>
      <c r="C153" t="s">
        <v>52</v>
      </c>
      <c r="D153" t="s">
        <v>47</v>
      </c>
      <c r="E153" t="s">
        <v>15</v>
      </c>
      <c r="F153" t="s">
        <v>35</v>
      </c>
      <c r="G153">
        <v>8</v>
      </c>
      <c r="H153">
        <v>2194.7399999999998</v>
      </c>
      <c r="I153">
        <v>25</v>
      </c>
      <c r="J153" t="s">
        <v>17</v>
      </c>
      <c r="K153" t="s">
        <v>29</v>
      </c>
      <c r="L153" t="s">
        <v>30</v>
      </c>
      <c r="M153">
        <f>Table1[[#This Row],[Quantity]]*Table1[[#This Row],[Unit_Price]]</f>
        <v>17557.919999999998</v>
      </c>
      <c r="N153">
        <f>Table1[[#This Row],[Sales amount]]*Table1[[#This Row],[Discount]]/100</f>
        <v>4389.4799999999996</v>
      </c>
      <c r="O153">
        <f>Table1[[#This Row],[Sales amount]]-Table1[[#This Row],[Discount amount]]</f>
        <v>13168.439999999999</v>
      </c>
      <c r="P153" t="str">
        <f>TEXT(Table1[[#This Row],[Order_Date]],"mmm")</f>
        <v>May</v>
      </c>
      <c r="Q153">
        <f>YEAR(Table1[[#This Row],[Order_Date]])</f>
        <v>2023</v>
      </c>
    </row>
    <row r="154" spans="1:17" x14ac:dyDescent="0.3">
      <c r="A154">
        <v>1153</v>
      </c>
      <c r="B154" t="s">
        <v>56</v>
      </c>
      <c r="C154" t="s">
        <v>42</v>
      </c>
      <c r="D154" t="s">
        <v>43</v>
      </c>
      <c r="E154" t="s">
        <v>15</v>
      </c>
      <c r="F154" t="s">
        <v>16</v>
      </c>
      <c r="G154">
        <v>3</v>
      </c>
      <c r="H154">
        <v>722.95</v>
      </c>
      <c r="I154">
        <v>7</v>
      </c>
      <c r="J154" t="s">
        <v>39</v>
      </c>
      <c r="K154" t="s">
        <v>40</v>
      </c>
      <c r="L154" t="s">
        <v>48</v>
      </c>
      <c r="M154">
        <f>Table1[[#This Row],[Quantity]]*Table1[[#This Row],[Unit_Price]]</f>
        <v>2168.8500000000004</v>
      </c>
      <c r="N154">
        <f>Table1[[#This Row],[Sales amount]]*Table1[[#This Row],[Discount]]/100</f>
        <v>151.81950000000003</v>
      </c>
      <c r="O154">
        <f>Table1[[#This Row],[Sales amount]]-Table1[[#This Row],[Discount amount]]</f>
        <v>2017.0305000000003</v>
      </c>
      <c r="P154" t="str">
        <f>TEXT(Table1[[#This Row],[Order_Date]],"mmm")</f>
        <v>Apr</v>
      </c>
      <c r="Q154">
        <f>YEAR(Table1[[#This Row],[Order_Date]])</f>
        <v>2023</v>
      </c>
    </row>
    <row r="155" spans="1:17" x14ac:dyDescent="0.3">
      <c r="A155">
        <v>1154</v>
      </c>
      <c r="B155" t="s">
        <v>176</v>
      </c>
      <c r="C155" t="s">
        <v>54</v>
      </c>
      <c r="D155" t="s">
        <v>22</v>
      </c>
      <c r="E155" t="s">
        <v>27</v>
      </c>
      <c r="F155" t="s">
        <v>38</v>
      </c>
      <c r="G155">
        <v>6</v>
      </c>
      <c r="H155">
        <v>2443.6799999999998</v>
      </c>
      <c r="I155">
        <v>10</v>
      </c>
      <c r="J155" t="s">
        <v>39</v>
      </c>
      <c r="K155" t="s">
        <v>40</v>
      </c>
      <c r="L155" t="s">
        <v>30</v>
      </c>
      <c r="M155">
        <f>Table1[[#This Row],[Quantity]]*Table1[[#This Row],[Unit_Price]]</f>
        <v>14662.079999999998</v>
      </c>
      <c r="N155">
        <f>Table1[[#This Row],[Sales amount]]*Table1[[#This Row],[Discount]]/100</f>
        <v>1466.2079999999999</v>
      </c>
      <c r="O155">
        <f>Table1[[#This Row],[Sales amount]]-Table1[[#This Row],[Discount amount]]</f>
        <v>13195.871999999998</v>
      </c>
      <c r="P155" t="str">
        <f>TEXT(Table1[[#This Row],[Order_Date]],"mmm")</f>
        <v>Jun</v>
      </c>
      <c r="Q155">
        <f>YEAR(Table1[[#This Row],[Order_Date]])</f>
        <v>2023</v>
      </c>
    </row>
    <row r="156" spans="1:17" x14ac:dyDescent="0.3">
      <c r="A156">
        <v>1155</v>
      </c>
      <c r="B156" t="s">
        <v>151</v>
      </c>
      <c r="C156" t="s">
        <v>54</v>
      </c>
      <c r="D156" t="s">
        <v>43</v>
      </c>
      <c r="E156" t="s">
        <v>15</v>
      </c>
      <c r="F156" t="s">
        <v>16</v>
      </c>
      <c r="G156">
        <v>2</v>
      </c>
      <c r="H156">
        <v>1755.24</v>
      </c>
      <c r="I156">
        <v>15</v>
      </c>
      <c r="J156" t="s">
        <v>24</v>
      </c>
      <c r="K156" t="s">
        <v>18</v>
      </c>
      <c r="L156" t="s">
        <v>30</v>
      </c>
      <c r="M156">
        <f>Table1[[#This Row],[Quantity]]*Table1[[#This Row],[Unit_Price]]</f>
        <v>3510.48</v>
      </c>
      <c r="N156">
        <f>Table1[[#This Row],[Sales amount]]*Table1[[#This Row],[Discount]]/100</f>
        <v>526.572</v>
      </c>
      <c r="O156">
        <f>Table1[[#This Row],[Sales amount]]-Table1[[#This Row],[Discount amount]]</f>
        <v>2983.9079999999999</v>
      </c>
      <c r="P156" t="str">
        <f>TEXT(Table1[[#This Row],[Order_Date]],"mmm")</f>
        <v>Feb</v>
      </c>
      <c r="Q156">
        <f>YEAR(Table1[[#This Row],[Order_Date]])</f>
        <v>2023</v>
      </c>
    </row>
    <row r="157" spans="1:17" x14ac:dyDescent="0.3">
      <c r="A157">
        <v>1156</v>
      </c>
      <c r="B157" t="s">
        <v>56</v>
      </c>
      <c r="C157" t="s">
        <v>42</v>
      </c>
      <c r="D157" t="s">
        <v>33</v>
      </c>
      <c r="E157" t="s">
        <v>27</v>
      </c>
      <c r="F157" t="s">
        <v>35</v>
      </c>
      <c r="G157">
        <v>1</v>
      </c>
      <c r="H157">
        <v>4984.82</v>
      </c>
      <c r="I157">
        <v>3</v>
      </c>
      <c r="J157" t="s">
        <v>28</v>
      </c>
      <c r="K157" t="s">
        <v>29</v>
      </c>
      <c r="L157" t="s">
        <v>19</v>
      </c>
      <c r="M157">
        <f>Table1[[#This Row],[Quantity]]*Table1[[#This Row],[Unit_Price]]</f>
        <v>4984.82</v>
      </c>
      <c r="N157">
        <f>Table1[[#This Row],[Sales amount]]*Table1[[#This Row],[Discount]]/100</f>
        <v>149.5446</v>
      </c>
      <c r="O157">
        <f>Table1[[#This Row],[Sales amount]]-Table1[[#This Row],[Discount amount]]</f>
        <v>4835.2753999999995</v>
      </c>
      <c r="P157" t="str">
        <f>TEXT(Table1[[#This Row],[Order_Date]],"mmm")</f>
        <v>Apr</v>
      </c>
      <c r="Q157">
        <f>YEAR(Table1[[#This Row],[Order_Date]])</f>
        <v>2023</v>
      </c>
    </row>
    <row r="158" spans="1:17" x14ac:dyDescent="0.3">
      <c r="A158">
        <v>1157</v>
      </c>
      <c r="B158" t="s">
        <v>177</v>
      </c>
      <c r="C158" t="s">
        <v>13</v>
      </c>
      <c r="D158" t="s">
        <v>33</v>
      </c>
      <c r="E158" t="s">
        <v>34</v>
      </c>
      <c r="F158" t="s">
        <v>35</v>
      </c>
      <c r="G158">
        <v>9</v>
      </c>
      <c r="H158">
        <v>485.29</v>
      </c>
      <c r="I158">
        <v>9</v>
      </c>
      <c r="J158" t="s">
        <v>17</v>
      </c>
      <c r="K158" t="s">
        <v>18</v>
      </c>
      <c r="L158" t="s">
        <v>30</v>
      </c>
      <c r="M158">
        <f>Table1[[#This Row],[Quantity]]*Table1[[#This Row],[Unit_Price]]</f>
        <v>4367.6100000000006</v>
      </c>
      <c r="N158">
        <f>Table1[[#This Row],[Sales amount]]*Table1[[#This Row],[Discount]]/100</f>
        <v>393.08490000000006</v>
      </c>
      <c r="O158">
        <f>Table1[[#This Row],[Sales amount]]-Table1[[#This Row],[Discount amount]]</f>
        <v>3974.5251000000007</v>
      </c>
      <c r="P158" t="str">
        <f>TEXT(Table1[[#This Row],[Order_Date]],"mmm")</f>
        <v>Jan</v>
      </c>
      <c r="Q158">
        <f>YEAR(Table1[[#This Row],[Order_Date]])</f>
        <v>2023</v>
      </c>
    </row>
    <row r="159" spans="1:17" x14ac:dyDescent="0.3">
      <c r="A159">
        <v>1158</v>
      </c>
      <c r="B159" t="s">
        <v>170</v>
      </c>
      <c r="C159" t="s">
        <v>13</v>
      </c>
      <c r="D159" t="s">
        <v>14</v>
      </c>
      <c r="E159" t="s">
        <v>34</v>
      </c>
      <c r="F159" t="s">
        <v>38</v>
      </c>
      <c r="G159">
        <v>10</v>
      </c>
      <c r="H159">
        <v>3825.91</v>
      </c>
      <c r="I159">
        <v>0</v>
      </c>
      <c r="J159" t="s">
        <v>39</v>
      </c>
      <c r="K159" t="s">
        <v>40</v>
      </c>
      <c r="L159" t="s">
        <v>30</v>
      </c>
      <c r="M159">
        <f>Table1[[#This Row],[Quantity]]*Table1[[#This Row],[Unit_Price]]</f>
        <v>38259.1</v>
      </c>
      <c r="N159">
        <f>Table1[[#This Row],[Sales amount]]*Table1[[#This Row],[Discount]]/100</f>
        <v>0</v>
      </c>
      <c r="O159">
        <f>Table1[[#This Row],[Sales amount]]-Table1[[#This Row],[Discount amount]]</f>
        <v>38259.1</v>
      </c>
      <c r="P159" t="str">
        <f>TEXT(Table1[[#This Row],[Order_Date]],"mmm")</f>
        <v>Jun</v>
      </c>
      <c r="Q159">
        <f>YEAR(Table1[[#This Row],[Order_Date]])</f>
        <v>2023</v>
      </c>
    </row>
    <row r="160" spans="1:17" x14ac:dyDescent="0.3">
      <c r="A160">
        <v>1159</v>
      </c>
      <c r="B160" t="s">
        <v>178</v>
      </c>
      <c r="C160" t="s">
        <v>52</v>
      </c>
      <c r="D160" t="s">
        <v>14</v>
      </c>
      <c r="E160" t="s">
        <v>34</v>
      </c>
      <c r="F160" t="s">
        <v>62</v>
      </c>
      <c r="G160">
        <v>3</v>
      </c>
      <c r="H160">
        <v>2135.4899999999998</v>
      </c>
      <c r="I160">
        <v>28</v>
      </c>
      <c r="J160" t="s">
        <v>39</v>
      </c>
      <c r="K160" t="s">
        <v>18</v>
      </c>
      <c r="L160" t="s">
        <v>48</v>
      </c>
      <c r="M160">
        <f>Table1[[#This Row],[Quantity]]*Table1[[#This Row],[Unit_Price]]</f>
        <v>6406.4699999999993</v>
      </c>
      <c r="N160">
        <f>Table1[[#This Row],[Sales amount]]*Table1[[#This Row],[Discount]]/100</f>
        <v>1793.8115999999998</v>
      </c>
      <c r="O160">
        <f>Table1[[#This Row],[Sales amount]]-Table1[[#This Row],[Discount amount]]</f>
        <v>4612.6583999999993</v>
      </c>
      <c r="P160" t="str">
        <f>TEXT(Table1[[#This Row],[Order_Date]],"mmm")</f>
        <v>Aug</v>
      </c>
      <c r="Q160">
        <f>YEAR(Table1[[#This Row],[Order_Date]])</f>
        <v>2023</v>
      </c>
    </row>
    <row r="161" spans="1:17" x14ac:dyDescent="0.3">
      <c r="A161">
        <v>1160</v>
      </c>
      <c r="B161" t="s">
        <v>57</v>
      </c>
      <c r="C161" t="s">
        <v>32</v>
      </c>
      <c r="D161" t="s">
        <v>14</v>
      </c>
      <c r="E161" t="s">
        <v>15</v>
      </c>
      <c r="F161" t="s">
        <v>35</v>
      </c>
      <c r="G161">
        <v>8</v>
      </c>
      <c r="H161">
        <v>277.81</v>
      </c>
      <c r="I161">
        <v>16</v>
      </c>
      <c r="J161" t="s">
        <v>28</v>
      </c>
      <c r="K161" t="s">
        <v>18</v>
      </c>
      <c r="L161" t="s">
        <v>30</v>
      </c>
      <c r="M161">
        <f>Table1[[#This Row],[Quantity]]*Table1[[#This Row],[Unit_Price]]</f>
        <v>2222.48</v>
      </c>
      <c r="N161">
        <f>Table1[[#This Row],[Sales amount]]*Table1[[#This Row],[Discount]]/100</f>
        <v>355.59680000000003</v>
      </c>
      <c r="O161">
        <f>Table1[[#This Row],[Sales amount]]-Table1[[#This Row],[Discount amount]]</f>
        <v>1866.8832</v>
      </c>
      <c r="P161" t="str">
        <f>TEXT(Table1[[#This Row],[Order_Date]],"mmm")</f>
        <v>Nov</v>
      </c>
      <c r="Q161">
        <f>YEAR(Table1[[#This Row],[Order_Date]])</f>
        <v>2023</v>
      </c>
    </row>
    <row r="162" spans="1:17" x14ac:dyDescent="0.3">
      <c r="A162">
        <v>1161</v>
      </c>
      <c r="B162" t="s">
        <v>109</v>
      </c>
      <c r="C162" t="s">
        <v>21</v>
      </c>
      <c r="D162" t="s">
        <v>14</v>
      </c>
      <c r="E162" t="s">
        <v>34</v>
      </c>
      <c r="F162" t="s">
        <v>38</v>
      </c>
      <c r="G162">
        <v>4</v>
      </c>
      <c r="H162">
        <v>4493.32</v>
      </c>
      <c r="I162">
        <v>12</v>
      </c>
      <c r="J162" t="s">
        <v>17</v>
      </c>
      <c r="K162" t="s">
        <v>18</v>
      </c>
      <c r="L162" t="s">
        <v>48</v>
      </c>
      <c r="M162">
        <f>Table1[[#This Row],[Quantity]]*Table1[[#This Row],[Unit_Price]]</f>
        <v>17973.28</v>
      </c>
      <c r="N162">
        <f>Table1[[#This Row],[Sales amount]]*Table1[[#This Row],[Discount]]/100</f>
        <v>2156.7936</v>
      </c>
      <c r="O162">
        <f>Table1[[#This Row],[Sales amount]]-Table1[[#This Row],[Discount amount]]</f>
        <v>15816.486399999998</v>
      </c>
      <c r="P162" t="str">
        <f>TEXT(Table1[[#This Row],[Order_Date]],"mmm")</f>
        <v>Jun</v>
      </c>
      <c r="Q162">
        <f>YEAR(Table1[[#This Row],[Order_Date]])</f>
        <v>2023</v>
      </c>
    </row>
    <row r="163" spans="1:17" x14ac:dyDescent="0.3">
      <c r="A163">
        <v>1162</v>
      </c>
      <c r="B163" t="s">
        <v>72</v>
      </c>
      <c r="C163" t="s">
        <v>32</v>
      </c>
      <c r="D163" t="s">
        <v>14</v>
      </c>
      <c r="E163" t="s">
        <v>27</v>
      </c>
      <c r="F163" t="s">
        <v>16</v>
      </c>
      <c r="G163">
        <v>8</v>
      </c>
      <c r="H163">
        <v>344.21</v>
      </c>
      <c r="I163">
        <v>17</v>
      </c>
      <c r="J163" t="s">
        <v>39</v>
      </c>
      <c r="K163" t="s">
        <v>18</v>
      </c>
      <c r="L163" t="s">
        <v>30</v>
      </c>
      <c r="M163">
        <f>Table1[[#This Row],[Quantity]]*Table1[[#This Row],[Unit_Price]]</f>
        <v>2753.68</v>
      </c>
      <c r="N163">
        <f>Table1[[#This Row],[Sales amount]]*Table1[[#This Row],[Discount]]/100</f>
        <v>468.12559999999996</v>
      </c>
      <c r="O163">
        <f>Table1[[#This Row],[Sales amount]]-Table1[[#This Row],[Discount amount]]</f>
        <v>2285.5544</v>
      </c>
      <c r="P163" t="str">
        <f>TEXT(Table1[[#This Row],[Order_Date]],"mmm")</f>
        <v>Sep</v>
      </c>
      <c r="Q163">
        <f>YEAR(Table1[[#This Row],[Order_Date]])</f>
        <v>2023</v>
      </c>
    </row>
    <row r="164" spans="1:17" x14ac:dyDescent="0.3">
      <c r="A164">
        <v>1163</v>
      </c>
      <c r="B164" t="s">
        <v>179</v>
      </c>
      <c r="C164" t="s">
        <v>46</v>
      </c>
      <c r="D164" t="s">
        <v>47</v>
      </c>
      <c r="E164" t="s">
        <v>34</v>
      </c>
      <c r="F164" t="s">
        <v>44</v>
      </c>
      <c r="G164">
        <v>10</v>
      </c>
      <c r="H164">
        <v>2512.16</v>
      </c>
      <c r="I164">
        <v>21</v>
      </c>
      <c r="J164" t="s">
        <v>24</v>
      </c>
      <c r="K164" t="s">
        <v>18</v>
      </c>
      <c r="L164" t="s">
        <v>48</v>
      </c>
      <c r="M164">
        <f>Table1[[#This Row],[Quantity]]*Table1[[#This Row],[Unit_Price]]</f>
        <v>25121.599999999999</v>
      </c>
      <c r="N164">
        <f>Table1[[#This Row],[Sales amount]]*Table1[[#This Row],[Discount]]/100</f>
        <v>5275.5360000000001</v>
      </c>
      <c r="O164">
        <f>Table1[[#This Row],[Sales amount]]-Table1[[#This Row],[Discount amount]]</f>
        <v>19846.063999999998</v>
      </c>
      <c r="P164" t="str">
        <f>TEXT(Table1[[#This Row],[Order_Date]],"mmm")</f>
        <v>Mar</v>
      </c>
      <c r="Q164">
        <f>YEAR(Table1[[#This Row],[Order_Date]])</f>
        <v>2023</v>
      </c>
    </row>
    <row r="165" spans="1:17" x14ac:dyDescent="0.3">
      <c r="A165">
        <v>1164</v>
      </c>
      <c r="B165" t="s">
        <v>180</v>
      </c>
      <c r="C165" t="s">
        <v>21</v>
      </c>
      <c r="D165" t="s">
        <v>22</v>
      </c>
      <c r="E165" t="s">
        <v>34</v>
      </c>
      <c r="F165" t="s">
        <v>16</v>
      </c>
      <c r="G165">
        <v>8</v>
      </c>
      <c r="H165">
        <v>439.77</v>
      </c>
      <c r="I165">
        <v>14</v>
      </c>
      <c r="J165" t="s">
        <v>39</v>
      </c>
      <c r="K165" t="s">
        <v>40</v>
      </c>
      <c r="L165" t="s">
        <v>30</v>
      </c>
      <c r="M165">
        <f>Table1[[#This Row],[Quantity]]*Table1[[#This Row],[Unit_Price]]</f>
        <v>3518.16</v>
      </c>
      <c r="N165">
        <f>Table1[[#This Row],[Sales amount]]*Table1[[#This Row],[Discount]]/100</f>
        <v>492.54239999999999</v>
      </c>
      <c r="O165">
        <f>Table1[[#This Row],[Sales amount]]-Table1[[#This Row],[Discount amount]]</f>
        <v>3025.6176</v>
      </c>
      <c r="P165" t="str">
        <f>TEXT(Table1[[#This Row],[Order_Date]],"mmm")</f>
        <v>Oct</v>
      </c>
      <c r="Q165">
        <f>YEAR(Table1[[#This Row],[Order_Date]])</f>
        <v>2023</v>
      </c>
    </row>
    <row r="166" spans="1:17" x14ac:dyDescent="0.3">
      <c r="A166">
        <v>1165</v>
      </c>
      <c r="B166" t="s">
        <v>181</v>
      </c>
      <c r="C166" t="s">
        <v>32</v>
      </c>
      <c r="D166" t="s">
        <v>43</v>
      </c>
      <c r="E166" t="s">
        <v>15</v>
      </c>
      <c r="F166" t="s">
        <v>62</v>
      </c>
      <c r="G166">
        <v>3</v>
      </c>
      <c r="H166">
        <v>2683.36</v>
      </c>
      <c r="I166">
        <v>18</v>
      </c>
      <c r="J166" t="s">
        <v>24</v>
      </c>
      <c r="K166" t="s">
        <v>40</v>
      </c>
      <c r="L166" t="s">
        <v>48</v>
      </c>
      <c r="M166">
        <f>Table1[[#This Row],[Quantity]]*Table1[[#This Row],[Unit_Price]]</f>
        <v>8050.08</v>
      </c>
      <c r="N166">
        <f>Table1[[#This Row],[Sales amount]]*Table1[[#This Row],[Discount]]/100</f>
        <v>1449.0144</v>
      </c>
      <c r="O166">
        <f>Table1[[#This Row],[Sales amount]]-Table1[[#This Row],[Discount amount]]</f>
        <v>6601.0655999999999</v>
      </c>
      <c r="P166" t="str">
        <f>TEXT(Table1[[#This Row],[Order_Date]],"mmm")</f>
        <v>Oct</v>
      </c>
      <c r="Q166">
        <f>YEAR(Table1[[#This Row],[Order_Date]])</f>
        <v>2023</v>
      </c>
    </row>
    <row r="167" spans="1:17" x14ac:dyDescent="0.3">
      <c r="A167">
        <v>1166</v>
      </c>
      <c r="B167" t="s">
        <v>182</v>
      </c>
      <c r="C167" t="s">
        <v>65</v>
      </c>
      <c r="D167" t="s">
        <v>47</v>
      </c>
      <c r="E167" t="s">
        <v>27</v>
      </c>
      <c r="F167" t="s">
        <v>35</v>
      </c>
      <c r="G167">
        <v>3</v>
      </c>
      <c r="H167">
        <v>2306.56</v>
      </c>
      <c r="I167">
        <v>4</v>
      </c>
      <c r="J167" t="s">
        <v>17</v>
      </c>
      <c r="K167" t="s">
        <v>18</v>
      </c>
      <c r="L167" t="s">
        <v>19</v>
      </c>
      <c r="M167">
        <f>Table1[[#This Row],[Quantity]]*Table1[[#This Row],[Unit_Price]]</f>
        <v>6919.68</v>
      </c>
      <c r="N167">
        <f>Table1[[#This Row],[Sales amount]]*Table1[[#This Row],[Discount]]/100</f>
        <v>276.78719999999998</v>
      </c>
      <c r="O167">
        <f>Table1[[#This Row],[Sales amount]]-Table1[[#This Row],[Discount amount]]</f>
        <v>6642.8928000000005</v>
      </c>
      <c r="P167" t="str">
        <f>TEXT(Table1[[#This Row],[Order_Date]],"mmm")</f>
        <v>Oct</v>
      </c>
      <c r="Q167">
        <f>YEAR(Table1[[#This Row],[Order_Date]])</f>
        <v>2023</v>
      </c>
    </row>
    <row r="168" spans="1:17" x14ac:dyDescent="0.3">
      <c r="A168">
        <v>1167</v>
      </c>
      <c r="B168" t="s">
        <v>180</v>
      </c>
      <c r="C168" t="s">
        <v>42</v>
      </c>
      <c r="D168" t="s">
        <v>47</v>
      </c>
      <c r="E168" t="s">
        <v>15</v>
      </c>
      <c r="F168" t="s">
        <v>38</v>
      </c>
      <c r="G168">
        <v>9</v>
      </c>
      <c r="H168">
        <v>1738.44</v>
      </c>
      <c r="I168">
        <v>24</v>
      </c>
      <c r="J168" t="s">
        <v>17</v>
      </c>
      <c r="K168" t="s">
        <v>29</v>
      </c>
      <c r="L168" t="s">
        <v>48</v>
      </c>
      <c r="M168">
        <f>Table1[[#This Row],[Quantity]]*Table1[[#This Row],[Unit_Price]]</f>
        <v>15645.960000000001</v>
      </c>
      <c r="N168">
        <f>Table1[[#This Row],[Sales amount]]*Table1[[#This Row],[Discount]]/100</f>
        <v>3755.0304000000006</v>
      </c>
      <c r="O168">
        <f>Table1[[#This Row],[Sales amount]]-Table1[[#This Row],[Discount amount]]</f>
        <v>11890.929599999999</v>
      </c>
      <c r="P168" t="str">
        <f>TEXT(Table1[[#This Row],[Order_Date]],"mmm")</f>
        <v>Oct</v>
      </c>
      <c r="Q168">
        <f>YEAR(Table1[[#This Row],[Order_Date]])</f>
        <v>2023</v>
      </c>
    </row>
    <row r="169" spans="1:17" x14ac:dyDescent="0.3">
      <c r="A169">
        <v>1168</v>
      </c>
      <c r="B169" t="s">
        <v>183</v>
      </c>
      <c r="C169" t="s">
        <v>54</v>
      </c>
      <c r="D169" t="s">
        <v>14</v>
      </c>
      <c r="E169" t="s">
        <v>15</v>
      </c>
      <c r="F169" t="s">
        <v>44</v>
      </c>
      <c r="G169">
        <v>5</v>
      </c>
      <c r="H169">
        <v>1819.91</v>
      </c>
      <c r="I169">
        <v>13</v>
      </c>
      <c r="J169" t="s">
        <v>28</v>
      </c>
      <c r="K169" t="s">
        <v>18</v>
      </c>
      <c r="L169" t="s">
        <v>30</v>
      </c>
      <c r="M169">
        <f>Table1[[#This Row],[Quantity]]*Table1[[#This Row],[Unit_Price]]</f>
        <v>9099.5500000000011</v>
      </c>
      <c r="N169">
        <f>Table1[[#This Row],[Sales amount]]*Table1[[#This Row],[Discount]]/100</f>
        <v>1182.9415000000001</v>
      </c>
      <c r="O169">
        <f>Table1[[#This Row],[Sales amount]]-Table1[[#This Row],[Discount amount]]</f>
        <v>7916.6085000000012</v>
      </c>
      <c r="P169" t="str">
        <f>TEXT(Table1[[#This Row],[Order_Date]],"mmm")</f>
        <v>Jul</v>
      </c>
      <c r="Q169">
        <f>YEAR(Table1[[#This Row],[Order_Date]])</f>
        <v>2023</v>
      </c>
    </row>
    <row r="170" spans="1:17" x14ac:dyDescent="0.3">
      <c r="A170">
        <v>1169</v>
      </c>
      <c r="B170" t="s">
        <v>97</v>
      </c>
      <c r="C170" t="s">
        <v>46</v>
      </c>
      <c r="D170" t="s">
        <v>33</v>
      </c>
      <c r="E170" t="s">
        <v>34</v>
      </c>
      <c r="F170" t="s">
        <v>44</v>
      </c>
      <c r="G170">
        <v>5</v>
      </c>
      <c r="H170">
        <v>485.2</v>
      </c>
      <c r="I170">
        <v>16</v>
      </c>
      <c r="J170" t="s">
        <v>17</v>
      </c>
      <c r="K170" t="s">
        <v>29</v>
      </c>
      <c r="L170" t="s">
        <v>19</v>
      </c>
      <c r="M170">
        <f>Table1[[#This Row],[Quantity]]*Table1[[#This Row],[Unit_Price]]</f>
        <v>2426</v>
      </c>
      <c r="N170">
        <f>Table1[[#This Row],[Sales amount]]*Table1[[#This Row],[Discount]]/100</f>
        <v>388.16</v>
      </c>
      <c r="O170">
        <f>Table1[[#This Row],[Sales amount]]-Table1[[#This Row],[Discount amount]]</f>
        <v>2037.84</v>
      </c>
      <c r="P170" t="str">
        <f>TEXT(Table1[[#This Row],[Order_Date]],"mmm")</f>
        <v>Mar</v>
      </c>
      <c r="Q170">
        <f>YEAR(Table1[[#This Row],[Order_Date]])</f>
        <v>2023</v>
      </c>
    </row>
    <row r="171" spans="1:17" x14ac:dyDescent="0.3">
      <c r="A171">
        <v>1170</v>
      </c>
      <c r="B171" t="s">
        <v>156</v>
      </c>
      <c r="C171" t="s">
        <v>52</v>
      </c>
      <c r="D171" t="s">
        <v>43</v>
      </c>
      <c r="E171" t="s">
        <v>34</v>
      </c>
      <c r="F171" t="s">
        <v>62</v>
      </c>
      <c r="G171">
        <v>7</v>
      </c>
      <c r="H171">
        <v>474.72</v>
      </c>
      <c r="I171">
        <v>15</v>
      </c>
      <c r="J171" t="s">
        <v>28</v>
      </c>
      <c r="K171" t="s">
        <v>18</v>
      </c>
      <c r="L171" t="s">
        <v>48</v>
      </c>
      <c r="M171">
        <f>Table1[[#This Row],[Quantity]]*Table1[[#This Row],[Unit_Price]]</f>
        <v>3323.04</v>
      </c>
      <c r="N171">
        <f>Table1[[#This Row],[Sales amount]]*Table1[[#This Row],[Discount]]/100</f>
        <v>498.45599999999996</v>
      </c>
      <c r="O171">
        <f>Table1[[#This Row],[Sales amount]]-Table1[[#This Row],[Discount amount]]</f>
        <v>2824.5839999999998</v>
      </c>
      <c r="P171" t="str">
        <f>TEXT(Table1[[#This Row],[Order_Date]],"mmm")</f>
        <v>Aug</v>
      </c>
      <c r="Q171">
        <f>YEAR(Table1[[#This Row],[Order_Date]])</f>
        <v>2023</v>
      </c>
    </row>
    <row r="172" spans="1:17" x14ac:dyDescent="0.3">
      <c r="A172">
        <v>1171</v>
      </c>
      <c r="B172" t="s">
        <v>156</v>
      </c>
      <c r="C172" t="s">
        <v>21</v>
      </c>
      <c r="D172" t="s">
        <v>14</v>
      </c>
      <c r="E172" t="s">
        <v>34</v>
      </c>
      <c r="F172" t="s">
        <v>35</v>
      </c>
      <c r="G172">
        <v>4</v>
      </c>
      <c r="H172">
        <v>315.82</v>
      </c>
      <c r="I172">
        <v>5</v>
      </c>
      <c r="J172" t="s">
        <v>28</v>
      </c>
      <c r="K172" t="s">
        <v>18</v>
      </c>
      <c r="L172" t="s">
        <v>30</v>
      </c>
      <c r="M172">
        <f>Table1[[#This Row],[Quantity]]*Table1[[#This Row],[Unit_Price]]</f>
        <v>1263.28</v>
      </c>
      <c r="N172">
        <f>Table1[[#This Row],[Sales amount]]*Table1[[#This Row],[Discount]]/100</f>
        <v>63.163999999999994</v>
      </c>
      <c r="O172">
        <f>Table1[[#This Row],[Sales amount]]-Table1[[#This Row],[Discount amount]]</f>
        <v>1200.116</v>
      </c>
      <c r="P172" t="str">
        <f>TEXT(Table1[[#This Row],[Order_Date]],"mmm")</f>
        <v>Aug</v>
      </c>
      <c r="Q172">
        <f>YEAR(Table1[[#This Row],[Order_Date]])</f>
        <v>2023</v>
      </c>
    </row>
    <row r="173" spans="1:17" x14ac:dyDescent="0.3">
      <c r="A173">
        <v>1172</v>
      </c>
      <c r="B173" t="s">
        <v>184</v>
      </c>
      <c r="C173" t="s">
        <v>54</v>
      </c>
      <c r="D173" t="s">
        <v>33</v>
      </c>
      <c r="E173" t="s">
        <v>15</v>
      </c>
      <c r="F173" t="s">
        <v>16</v>
      </c>
      <c r="G173">
        <v>4</v>
      </c>
      <c r="H173">
        <v>3047.34</v>
      </c>
      <c r="I173">
        <v>0</v>
      </c>
      <c r="J173" t="s">
        <v>28</v>
      </c>
      <c r="K173" t="s">
        <v>40</v>
      </c>
      <c r="L173" t="s">
        <v>48</v>
      </c>
      <c r="M173">
        <f>Table1[[#This Row],[Quantity]]*Table1[[#This Row],[Unit_Price]]</f>
        <v>12189.36</v>
      </c>
      <c r="N173">
        <f>Table1[[#This Row],[Sales amount]]*Table1[[#This Row],[Discount]]/100</f>
        <v>0</v>
      </c>
      <c r="O173">
        <f>Table1[[#This Row],[Sales amount]]-Table1[[#This Row],[Discount amount]]</f>
        <v>12189.36</v>
      </c>
      <c r="P173" t="str">
        <f>TEXT(Table1[[#This Row],[Order_Date]],"mmm")</f>
        <v>Nov</v>
      </c>
      <c r="Q173">
        <f>YEAR(Table1[[#This Row],[Order_Date]])</f>
        <v>2023</v>
      </c>
    </row>
    <row r="174" spans="1:17" x14ac:dyDescent="0.3">
      <c r="A174">
        <v>1173</v>
      </c>
      <c r="B174" t="s">
        <v>185</v>
      </c>
      <c r="C174" t="s">
        <v>32</v>
      </c>
      <c r="D174" t="s">
        <v>33</v>
      </c>
      <c r="E174" t="s">
        <v>15</v>
      </c>
      <c r="F174" t="s">
        <v>16</v>
      </c>
      <c r="G174">
        <v>6</v>
      </c>
      <c r="H174">
        <v>4763.43</v>
      </c>
      <c r="I174">
        <v>30</v>
      </c>
      <c r="J174" t="s">
        <v>28</v>
      </c>
      <c r="K174" t="s">
        <v>40</v>
      </c>
      <c r="L174" t="s">
        <v>19</v>
      </c>
      <c r="M174">
        <f>Table1[[#This Row],[Quantity]]*Table1[[#This Row],[Unit_Price]]</f>
        <v>28580.58</v>
      </c>
      <c r="N174">
        <f>Table1[[#This Row],[Sales amount]]*Table1[[#This Row],[Discount]]/100</f>
        <v>8574.1740000000009</v>
      </c>
      <c r="O174">
        <f>Table1[[#This Row],[Sales amount]]-Table1[[#This Row],[Discount amount]]</f>
        <v>20006.406000000003</v>
      </c>
      <c r="P174" t="str">
        <f>TEXT(Table1[[#This Row],[Order_Date]],"mmm")</f>
        <v>Mar</v>
      </c>
      <c r="Q174">
        <f>YEAR(Table1[[#This Row],[Order_Date]])</f>
        <v>2023</v>
      </c>
    </row>
    <row r="175" spans="1:17" x14ac:dyDescent="0.3">
      <c r="A175">
        <v>1174</v>
      </c>
      <c r="B175" t="s">
        <v>186</v>
      </c>
      <c r="C175" t="s">
        <v>52</v>
      </c>
      <c r="D175" t="s">
        <v>33</v>
      </c>
      <c r="E175" t="s">
        <v>27</v>
      </c>
      <c r="F175" t="s">
        <v>23</v>
      </c>
      <c r="G175">
        <v>2</v>
      </c>
      <c r="H175">
        <v>3585.99</v>
      </c>
      <c r="I175">
        <v>1</v>
      </c>
      <c r="J175" t="s">
        <v>39</v>
      </c>
      <c r="K175" t="s">
        <v>18</v>
      </c>
      <c r="L175" t="s">
        <v>19</v>
      </c>
      <c r="M175">
        <f>Table1[[#This Row],[Quantity]]*Table1[[#This Row],[Unit_Price]]</f>
        <v>7171.98</v>
      </c>
      <c r="N175">
        <f>Table1[[#This Row],[Sales amount]]*Table1[[#This Row],[Discount]]/100</f>
        <v>71.719799999999992</v>
      </c>
      <c r="O175">
        <f>Table1[[#This Row],[Sales amount]]-Table1[[#This Row],[Discount amount]]</f>
        <v>7100.2601999999997</v>
      </c>
      <c r="P175" t="str">
        <f>TEXT(Table1[[#This Row],[Order_Date]],"mmm")</f>
        <v>Dec</v>
      </c>
      <c r="Q175">
        <f>YEAR(Table1[[#This Row],[Order_Date]])</f>
        <v>2023</v>
      </c>
    </row>
    <row r="176" spans="1:17" x14ac:dyDescent="0.3">
      <c r="A176">
        <v>1175</v>
      </c>
      <c r="B176" t="s">
        <v>179</v>
      </c>
      <c r="C176" t="s">
        <v>52</v>
      </c>
      <c r="D176" t="s">
        <v>33</v>
      </c>
      <c r="E176" t="s">
        <v>27</v>
      </c>
      <c r="F176" t="s">
        <v>62</v>
      </c>
      <c r="G176">
        <v>3</v>
      </c>
      <c r="H176">
        <v>684.93</v>
      </c>
      <c r="I176">
        <v>19</v>
      </c>
      <c r="J176" t="s">
        <v>28</v>
      </c>
      <c r="K176" t="s">
        <v>18</v>
      </c>
      <c r="L176" t="s">
        <v>19</v>
      </c>
      <c r="M176">
        <f>Table1[[#This Row],[Quantity]]*Table1[[#This Row],[Unit_Price]]</f>
        <v>2054.79</v>
      </c>
      <c r="N176">
        <f>Table1[[#This Row],[Sales amount]]*Table1[[#This Row],[Discount]]/100</f>
        <v>390.4101</v>
      </c>
      <c r="O176">
        <f>Table1[[#This Row],[Sales amount]]-Table1[[#This Row],[Discount amount]]</f>
        <v>1664.3798999999999</v>
      </c>
      <c r="P176" t="str">
        <f>TEXT(Table1[[#This Row],[Order_Date]],"mmm")</f>
        <v>Mar</v>
      </c>
      <c r="Q176">
        <f>YEAR(Table1[[#This Row],[Order_Date]])</f>
        <v>2023</v>
      </c>
    </row>
    <row r="177" spans="1:17" x14ac:dyDescent="0.3">
      <c r="A177">
        <v>1176</v>
      </c>
      <c r="B177" t="s">
        <v>187</v>
      </c>
      <c r="C177" t="s">
        <v>32</v>
      </c>
      <c r="D177" t="s">
        <v>14</v>
      </c>
      <c r="E177" t="s">
        <v>34</v>
      </c>
      <c r="F177" t="s">
        <v>35</v>
      </c>
      <c r="G177">
        <v>4</v>
      </c>
      <c r="H177">
        <v>2055.42</v>
      </c>
      <c r="I177">
        <v>28</v>
      </c>
      <c r="J177" t="s">
        <v>28</v>
      </c>
      <c r="K177" t="s">
        <v>29</v>
      </c>
      <c r="L177" t="s">
        <v>48</v>
      </c>
      <c r="M177">
        <f>Table1[[#This Row],[Quantity]]*Table1[[#This Row],[Unit_Price]]</f>
        <v>8221.68</v>
      </c>
      <c r="N177">
        <f>Table1[[#This Row],[Sales amount]]*Table1[[#This Row],[Discount]]/100</f>
        <v>2302.0704000000001</v>
      </c>
      <c r="O177">
        <f>Table1[[#This Row],[Sales amount]]-Table1[[#This Row],[Discount amount]]</f>
        <v>5919.6095999999998</v>
      </c>
      <c r="P177" t="str">
        <f>TEXT(Table1[[#This Row],[Order_Date]],"mmm")</f>
        <v>Sep</v>
      </c>
      <c r="Q177">
        <f>YEAR(Table1[[#This Row],[Order_Date]])</f>
        <v>2023</v>
      </c>
    </row>
    <row r="178" spans="1:17" x14ac:dyDescent="0.3">
      <c r="A178">
        <v>1177</v>
      </c>
      <c r="B178" t="s">
        <v>188</v>
      </c>
      <c r="C178" t="s">
        <v>13</v>
      </c>
      <c r="D178" t="s">
        <v>22</v>
      </c>
      <c r="E178" t="s">
        <v>15</v>
      </c>
      <c r="F178" t="s">
        <v>35</v>
      </c>
      <c r="G178">
        <v>10</v>
      </c>
      <c r="H178">
        <v>3105.46</v>
      </c>
      <c r="I178">
        <v>15</v>
      </c>
      <c r="J178" t="s">
        <v>39</v>
      </c>
      <c r="K178" t="s">
        <v>40</v>
      </c>
      <c r="L178" t="s">
        <v>30</v>
      </c>
      <c r="M178">
        <f>Table1[[#This Row],[Quantity]]*Table1[[#This Row],[Unit_Price]]</f>
        <v>31054.6</v>
      </c>
      <c r="N178">
        <f>Table1[[#This Row],[Sales amount]]*Table1[[#This Row],[Discount]]/100</f>
        <v>4658.1899999999996</v>
      </c>
      <c r="O178">
        <f>Table1[[#This Row],[Sales amount]]-Table1[[#This Row],[Discount amount]]</f>
        <v>26396.41</v>
      </c>
      <c r="P178" t="str">
        <f>TEXT(Table1[[#This Row],[Order_Date]],"mmm")</f>
        <v>Oct</v>
      </c>
      <c r="Q178">
        <f>YEAR(Table1[[#This Row],[Order_Date]])</f>
        <v>2023</v>
      </c>
    </row>
    <row r="179" spans="1:17" x14ac:dyDescent="0.3">
      <c r="A179">
        <v>1178</v>
      </c>
      <c r="B179" t="s">
        <v>189</v>
      </c>
      <c r="C179" t="s">
        <v>54</v>
      </c>
      <c r="D179" t="s">
        <v>47</v>
      </c>
      <c r="E179" t="s">
        <v>15</v>
      </c>
      <c r="F179" t="s">
        <v>16</v>
      </c>
      <c r="G179">
        <v>6</v>
      </c>
      <c r="H179">
        <v>4654.05</v>
      </c>
      <c r="I179">
        <v>26</v>
      </c>
      <c r="J179" t="s">
        <v>17</v>
      </c>
      <c r="K179" t="s">
        <v>40</v>
      </c>
      <c r="L179" t="s">
        <v>30</v>
      </c>
      <c r="M179">
        <f>Table1[[#This Row],[Quantity]]*Table1[[#This Row],[Unit_Price]]</f>
        <v>27924.300000000003</v>
      </c>
      <c r="N179">
        <f>Table1[[#This Row],[Sales amount]]*Table1[[#This Row],[Discount]]/100</f>
        <v>7260.3180000000002</v>
      </c>
      <c r="O179">
        <f>Table1[[#This Row],[Sales amount]]-Table1[[#This Row],[Discount amount]]</f>
        <v>20663.982000000004</v>
      </c>
      <c r="P179" t="str">
        <f>TEXT(Table1[[#This Row],[Order_Date]],"mmm")</f>
        <v>Jan</v>
      </c>
      <c r="Q179">
        <f>YEAR(Table1[[#This Row],[Order_Date]])</f>
        <v>2023</v>
      </c>
    </row>
    <row r="180" spans="1:17" x14ac:dyDescent="0.3">
      <c r="A180">
        <v>1179</v>
      </c>
      <c r="B180" t="s">
        <v>190</v>
      </c>
      <c r="C180" t="s">
        <v>65</v>
      </c>
      <c r="D180" t="s">
        <v>22</v>
      </c>
      <c r="E180" t="s">
        <v>34</v>
      </c>
      <c r="F180" t="s">
        <v>35</v>
      </c>
      <c r="G180">
        <v>5</v>
      </c>
      <c r="H180">
        <v>4323.09</v>
      </c>
      <c r="I180">
        <v>3</v>
      </c>
      <c r="J180" t="s">
        <v>24</v>
      </c>
      <c r="K180" t="s">
        <v>40</v>
      </c>
      <c r="L180" t="s">
        <v>48</v>
      </c>
      <c r="M180">
        <f>Table1[[#This Row],[Quantity]]*Table1[[#This Row],[Unit_Price]]</f>
        <v>21615.45</v>
      </c>
      <c r="N180">
        <f>Table1[[#This Row],[Sales amount]]*Table1[[#This Row],[Discount]]/100</f>
        <v>648.46350000000007</v>
      </c>
      <c r="O180">
        <f>Table1[[#This Row],[Sales amount]]-Table1[[#This Row],[Discount amount]]</f>
        <v>20966.986499999999</v>
      </c>
      <c r="P180" t="str">
        <f>TEXT(Table1[[#This Row],[Order_Date]],"mmm")</f>
        <v>Nov</v>
      </c>
      <c r="Q180">
        <f>YEAR(Table1[[#This Row],[Order_Date]])</f>
        <v>2023</v>
      </c>
    </row>
    <row r="181" spans="1:17" x14ac:dyDescent="0.3">
      <c r="A181">
        <v>1180</v>
      </c>
      <c r="B181" t="s">
        <v>191</v>
      </c>
      <c r="C181" t="s">
        <v>46</v>
      </c>
      <c r="D181" t="s">
        <v>22</v>
      </c>
      <c r="E181" t="s">
        <v>27</v>
      </c>
      <c r="F181" t="s">
        <v>23</v>
      </c>
      <c r="G181">
        <v>3</v>
      </c>
      <c r="H181">
        <v>1494.03</v>
      </c>
      <c r="I181">
        <v>2</v>
      </c>
      <c r="J181" t="s">
        <v>17</v>
      </c>
      <c r="K181" t="s">
        <v>29</v>
      </c>
      <c r="L181" t="s">
        <v>30</v>
      </c>
      <c r="M181">
        <f>Table1[[#This Row],[Quantity]]*Table1[[#This Row],[Unit_Price]]</f>
        <v>4482.09</v>
      </c>
      <c r="N181">
        <f>Table1[[#This Row],[Sales amount]]*Table1[[#This Row],[Discount]]/100</f>
        <v>89.641800000000003</v>
      </c>
      <c r="O181">
        <f>Table1[[#This Row],[Sales amount]]-Table1[[#This Row],[Discount amount]]</f>
        <v>4392.4481999999998</v>
      </c>
      <c r="P181" t="str">
        <f>TEXT(Table1[[#This Row],[Order_Date]],"mmm")</f>
        <v>Jan</v>
      </c>
      <c r="Q181">
        <f>YEAR(Table1[[#This Row],[Order_Date]])</f>
        <v>2023</v>
      </c>
    </row>
    <row r="182" spans="1:17" x14ac:dyDescent="0.3">
      <c r="A182">
        <v>1181</v>
      </c>
      <c r="B182" t="s">
        <v>192</v>
      </c>
      <c r="C182" t="s">
        <v>46</v>
      </c>
      <c r="D182" t="s">
        <v>22</v>
      </c>
      <c r="E182" t="s">
        <v>34</v>
      </c>
      <c r="F182" t="s">
        <v>16</v>
      </c>
      <c r="G182">
        <v>10</v>
      </c>
      <c r="H182">
        <v>1945.29</v>
      </c>
      <c r="I182">
        <v>14</v>
      </c>
      <c r="J182" t="s">
        <v>17</v>
      </c>
      <c r="K182" t="s">
        <v>18</v>
      </c>
      <c r="L182" t="s">
        <v>48</v>
      </c>
      <c r="M182">
        <f>Table1[[#This Row],[Quantity]]*Table1[[#This Row],[Unit_Price]]</f>
        <v>19452.900000000001</v>
      </c>
      <c r="N182">
        <f>Table1[[#This Row],[Sales amount]]*Table1[[#This Row],[Discount]]/100</f>
        <v>2723.4060000000004</v>
      </c>
      <c r="O182">
        <f>Table1[[#This Row],[Sales amount]]-Table1[[#This Row],[Discount amount]]</f>
        <v>16729.494000000002</v>
      </c>
      <c r="P182" t="str">
        <f>TEXT(Table1[[#This Row],[Order_Date]],"mmm")</f>
        <v>Jan</v>
      </c>
      <c r="Q182">
        <f>YEAR(Table1[[#This Row],[Order_Date]])</f>
        <v>2023</v>
      </c>
    </row>
    <row r="183" spans="1:17" x14ac:dyDescent="0.3">
      <c r="A183">
        <v>1182</v>
      </c>
      <c r="B183" t="s">
        <v>193</v>
      </c>
      <c r="C183" t="s">
        <v>65</v>
      </c>
      <c r="D183" t="s">
        <v>22</v>
      </c>
      <c r="E183" t="s">
        <v>27</v>
      </c>
      <c r="F183" t="s">
        <v>38</v>
      </c>
      <c r="G183">
        <v>1</v>
      </c>
      <c r="H183">
        <v>1802.49</v>
      </c>
      <c r="I183">
        <v>23</v>
      </c>
      <c r="J183" t="s">
        <v>39</v>
      </c>
      <c r="K183" t="s">
        <v>29</v>
      </c>
      <c r="L183" t="s">
        <v>19</v>
      </c>
      <c r="M183">
        <f>Table1[[#This Row],[Quantity]]*Table1[[#This Row],[Unit_Price]]</f>
        <v>1802.49</v>
      </c>
      <c r="N183">
        <f>Table1[[#This Row],[Sales amount]]*Table1[[#This Row],[Discount]]/100</f>
        <v>414.57269999999994</v>
      </c>
      <c r="O183">
        <f>Table1[[#This Row],[Sales amount]]-Table1[[#This Row],[Discount amount]]</f>
        <v>1387.9173000000001</v>
      </c>
      <c r="P183" t="str">
        <f>TEXT(Table1[[#This Row],[Order_Date]],"mmm")</f>
        <v>Nov</v>
      </c>
      <c r="Q183">
        <f>YEAR(Table1[[#This Row],[Order_Date]])</f>
        <v>2023</v>
      </c>
    </row>
    <row r="184" spans="1:17" x14ac:dyDescent="0.3">
      <c r="A184">
        <v>1183</v>
      </c>
      <c r="B184" t="s">
        <v>69</v>
      </c>
      <c r="C184" t="s">
        <v>42</v>
      </c>
      <c r="D184" t="s">
        <v>22</v>
      </c>
      <c r="E184" t="s">
        <v>15</v>
      </c>
      <c r="F184" t="s">
        <v>35</v>
      </c>
      <c r="G184">
        <v>4</v>
      </c>
      <c r="H184">
        <v>3084.16</v>
      </c>
      <c r="I184">
        <v>19</v>
      </c>
      <c r="J184" t="s">
        <v>28</v>
      </c>
      <c r="K184" t="s">
        <v>40</v>
      </c>
      <c r="L184" t="s">
        <v>48</v>
      </c>
      <c r="M184">
        <f>Table1[[#This Row],[Quantity]]*Table1[[#This Row],[Unit_Price]]</f>
        <v>12336.64</v>
      </c>
      <c r="N184">
        <f>Table1[[#This Row],[Sales amount]]*Table1[[#This Row],[Discount]]/100</f>
        <v>2343.9615999999996</v>
      </c>
      <c r="O184">
        <f>Table1[[#This Row],[Sales amount]]-Table1[[#This Row],[Discount amount]]</f>
        <v>9992.6784000000007</v>
      </c>
      <c r="P184" t="str">
        <f>TEXT(Table1[[#This Row],[Order_Date]],"mmm")</f>
        <v>Oct</v>
      </c>
      <c r="Q184">
        <f>YEAR(Table1[[#This Row],[Order_Date]])</f>
        <v>2023</v>
      </c>
    </row>
    <row r="185" spans="1:17" x14ac:dyDescent="0.3">
      <c r="A185">
        <v>1184</v>
      </c>
      <c r="B185" t="s">
        <v>179</v>
      </c>
      <c r="C185" t="s">
        <v>32</v>
      </c>
      <c r="D185" t="s">
        <v>33</v>
      </c>
      <c r="E185" t="s">
        <v>27</v>
      </c>
      <c r="F185" t="s">
        <v>16</v>
      </c>
      <c r="G185">
        <v>1</v>
      </c>
      <c r="H185">
        <v>2704.83</v>
      </c>
      <c r="I185">
        <v>5</v>
      </c>
      <c r="J185" t="s">
        <v>28</v>
      </c>
      <c r="K185" t="s">
        <v>29</v>
      </c>
      <c r="L185" t="s">
        <v>48</v>
      </c>
      <c r="M185">
        <f>Table1[[#This Row],[Quantity]]*Table1[[#This Row],[Unit_Price]]</f>
        <v>2704.83</v>
      </c>
      <c r="N185">
        <f>Table1[[#This Row],[Sales amount]]*Table1[[#This Row],[Discount]]/100</f>
        <v>135.2415</v>
      </c>
      <c r="O185">
        <f>Table1[[#This Row],[Sales amount]]-Table1[[#This Row],[Discount amount]]</f>
        <v>2569.5884999999998</v>
      </c>
      <c r="P185" t="str">
        <f>TEXT(Table1[[#This Row],[Order_Date]],"mmm")</f>
        <v>Mar</v>
      </c>
      <c r="Q185">
        <f>YEAR(Table1[[#This Row],[Order_Date]])</f>
        <v>2023</v>
      </c>
    </row>
    <row r="186" spans="1:17" x14ac:dyDescent="0.3">
      <c r="A186">
        <v>1185</v>
      </c>
      <c r="B186" t="s">
        <v>161</v>
      </c>
      <c r="C186" t="s">
        <v>21</v>
      </c>
      <c r="D186" t="s">
        <v>14</v>
      </c>
      <c r="E186" t="s">
        <v>15</v>
      </c>
      <c r="F186" t="s">
        <v>38</v>
      </c>
      <c r="G186">
        <v>4</v>
      </c>
      <c r="H186">
        <v>4508.2299999999996</v>
      </c>
      <c r="I186">
        <v>15</v>
      </c>
      <c r="J186" t="s">
        <v>24</v>
      </c>
      <c r="K186" t="s">
        <v>40</v>
      </c>
      <c r="L186" t="s">
        <v>30</v>
      </c>
      <c r="M186">
        <f>Table1[[#This Row],[Quantity]]*Table1[[#This Row],[Unit_Price]]</f>
        <v>18032.919999999998</v>
      </c>
      <c r="N186">
        <f>Table1[[#This Row],[Sales amount]]*Table1[[#This Row],[Discount]]/100</f>
        <v>2704.9380000000001</v>
      </c>
      <c r="O186">
        <f>Table1[[#This Row],[Sales amount]]-Table1[[#This Row],[Discount amount]]</f>
        <v>15327.981999999998</v>
      </c>
      <c r="P186" t="str">
        <f>TEXT(Table1[[#This Row],[Order_Date]],"mmm")</f>
        <v>Aug</v>
      </c>
      <c r="Q186">
        <f>YEAR(Table1[[#This Row],[Order_Date]])</f>
        <v>2023</v>
      </c>
    </row>
    <row r="187" spans="1:17" x14ac:dyDescent="0.3">
      <c r="A187">
        <v>1186</v>
      </c>
      <c r="B187" t="s">
        <v>194</v>
      </c>
      <c r="C187" t="s">
        <v>32</v>
      </c>
      <c r="D187" t="s">
        <v>43</v>
      </c>
      <c r="E187" t="s">
        <v>34</v>
      </c>
      <c r="F187" t="s">
        <v>35</v>
      </c>
      <c r="G187">
        <v>4</v>
      </c>
      <c r="H187">
        <v>4579.9399999999996</v>
      </c>
      <c r="I187">
        <v>13</v>
      </c>
      <c r="J187" t="s">
        <v>17</v>
      </c>
      <c r="K187" t="s">
        <v>40</v>
      </c>
      <c r="L187" t="s">
        <v>48</v>
      </c>
      <c r="M187">
        <f>Table1[[#This Row],[Quantity]]*Table1[[#This Row],[Unit_Price]]</f>
        <v>18319.759999999998</v>
      </c>
      <c r="N187">
        <f>Table1[[#This Row],[Sales amount]]*Table1[[#This Row],[Discount]]/100</f>
        <v>2381.5687999999996</v>
      </c>
      <c r="O187">
        <f>Table1[[#This Row],[Sales amount]]-Table1[[#This Row],[Discount amount]]</f>
        <v>15938.191199999999</v>
      </c>
      <c r="P187" t="str">
        <f>TEXT(Table1[[#This Row],[Order_Date]],"mmm")</f>
        <v>Aug</v>
      </c>
      <c r="Q187">
        <f>YEAR(Table1[[#This Row],[Order_Date]])</f>
        <v>2023</v>
      </c>
    </row>
    <row r="188" spans="1:17" x14ac:dyDescent="0.3">
      <c r="A188">
        <v>1187</v>
      </c>
      <c r="B188" t="s">
        <v>155</v>
      </c>
      <c r="C188" t="s">
        <v>65</v>
      </c>
      <c r="D188" t="s">
        <v>14</v>
      </c>
      <c r="E188" t="s">
        <v>27</v>
      </c>
      <c r="F188" t="s">
        <v>44</v>
      </c>
      <c r="G188">
        <v>3</v>
      </c>
      <c r="H188">
        <v>4410.49</v>
      </c>
      <c r="I188">
        <v>6</v>
      </c>
      <c r="J188" t="s">
        <v>24</v>
      </c>
      <c r="K188" t="s">
        <v>18</v>
      </c>
      <c r="L188" t="s">
        <v>19</v>
      </c>
      <c r="M188">
        <f>Table1[[#This Row],[Quantity]]*Table1[[#This Row],[Unit_Price]]</f>
        <v>13231.47</v>
      </c>
      <c r="N188">
        <f>Table1[[#This Row],[Sales amount]]*Table1[[#This Row],[Discount]]/100</f>
        <v>793.88819999999987</v>
      </c>
      <c r="O188">
        <f>Table1[[#This Row],[Sales amount]]-Table1[[#This Row],[Discount amount]]</f>
        <v>12437.5818</v>
      </c>
      <c r="P188" t="str">
        <f>TEXT(Table1[[#This Row],[Order_Date]],"mmm")</f>
        <v>Feb</v>
      </c>
      <c r="Q188">
        <f>YEAR(Table1[[#This Row],[Order_Date]])</f>
        <v>2023</v>
      </c>
    </row>
    <row r="189" spans="1:17" x14ac:dyDescent="0.3">
      <c r="A189">
        <v>1188</v>
      </c>
      <c r="B189" t="s">
        <v>58</v>
      </c>
      <c r="C189" t="s">
        <v>13</v>
      </c>
      <c r="D189" t="s">
        <v>33</v>
      </c>
      <c r="E189" t="s">
        <v>15</v>
      </c>
      <c r="F189" t="s">
        <v>62</v>
      </c>
      <c r="G189">
        <v>10</v>
      </c>
      <c r="H189">
        <v>3630.58</v>
      </c>
      <c r="I189">
        <v>22</v>
      </c>
      <c r="J189" t="s">
        <v>39</v>
      </c>
      <c r="K189" t="s">
        <v>18</v>
      </c>
      <c r="L189" t="s">
        <v>48</v>
      </c>
      <c r="M189">
        <f>Table1[[#This Row],[Quantity]]*Table1[[#This Row],[Unit_Price]]</f>
        <v>36305.800000000003</v>
      </c>
      <c r="N189">
        <f>Table1[[#This Row],[Sales amount]]*Table1[[#This Row],[Discount]]/100</f>
        <v>7987.2760000000007</v>
      </c>
      <c r="O189">
        <f>Table1[[#This Row],[Sales amount]]-Table1[[#This Row],[Discount amount]]</f>
        <v>28318.524000000001</v>
      </c>
      <c r="P189" t="str">
        <f>TEXT(Table1[[#This Row],[Order_Date]],"mmm")</f>
        <v>Jun</v>
      </c>
      <c r="Q189">
        <f>YEAR(Table1[[#This Row],[Order_Date]])</f>
        <v>2023</v>
      </c>
    </row>
    <row r="190" spans="1:17" x14ac:dyDescent="0.3">
      <c r="A190">
        <v>1189</v>
      </c>
      <c r="B190" t="s">
        <v>186</v>
      </c>
      <c r="C190" t="s">
        <v>46</v>
      </c>
      <c r="D190" t="s">
        <v>43</v>
      </c>
      <c r="E190" t="s">
        <v>15</v>
      </c>
      <c r="F190" t="s">
        <v>44</v>
      </c>
      <c r="G190">
        <v>7</v>
      </c>
      <c r="H190">
        <v>2934.48</v>
      </c>
      <c r="I190">
        <v>5</v>
      </c>
      <c r="J190" t="s">
        <v>24</v>
      </c>
      <c r="K190" t="s">
        <v>29</v>
      </c>
      <c r="L190" t="s">
        <v>19</v>
      </c>
      <c r="M190">
        <f>Table1[[#This Row],[Quantity]]*Table1[[#This Row],[Unit_Price]]</f>
        <v>20541.36</v>
      </c>
      <c r="N190">
        <f>Table1[[#This Row],[Sales amount]]*Table1[[#This Row],[Discount]]/100</f>
        <v>1027.068</v>
      </c>
      <c r="O190">
        <f>Table1[[#This Row],[Sales amount]]-Table1[[#This Row],[Discount amount]]</f>
        <v>19514.292000000001</v>
      </c>
      <c r="P190" t="str">
        <f>TEXT(Table1[[#This Row],[Order_Date]],"mmm")</f>
        <v>Dec</v>
      </c>
      <c r="Q190">
        <f>YEAR(Table1[[#This Row],[Order_Date]])</f>
        <v>2023</v>
      </c>
    </row>
    <row r="191" spans="1:17" x14ac:dyDescent="0.3">
      <c r="A191">
        <v>1190</v>
      </c>
      <c r="B191" t="s">
        <v>195</v>
      </c>
      <c r="C191" t="s">
        <v>13</v>
      </c>
      <c r="D191" t="s">
        <v>43</v>
      </c>
      <c r="E191" t="s">
        <v>34</v>
      </c>
      <c r="F191" t="s">
        <v>23</v>
      </c>
      <c r="G191">
        <v>7</v>
      </c>
      <c r="H191">
        <v>4161.62</v>
      </c>
      <c r="I191">
        <v>28</v>
      </c>
      <c r="J191" t="s">
        <v>28</v>
      </c>
      <c r="K191" t="s">
        <v>29</v>
      </c>
      <c r="L191" t="s">
        <v>48</v>
      </c>
      <c r="M191">
        <f>Table1[[#This Row],[Quantity]]*Table1[[#This Row],[Unit_Price]]</f>
        <v>29131.34</v>
      </c>
      <c r="N191">
        <f>Table1[[#This Row],[Sales amount]]*Table1[[#This Row],[Discount]]/100</f>
        <v>8156.7752</v>
      </c>
      <c r="O191">
        <f>Table1[[#This Row],[Sales amount]]-Table1[[#This Row],[Discount amount]]</f>
        <v>20974.5648</v>
      </c>
      <c r="P191" t="str">
        <f>TEXT(Table1[[#This Row],[Order_Date]],"mmm")</f>
        <v>Sep</v>
      </c>
      <c r="Q191">
        <f>YEAR(Table1[[#This Row],[Order_Date]])</f>
        <v>2023</v>
      </c>
    </row>
    <row r="192" spans="1:17" x14ac:dyDescent="0.3">
      <c r="A192">
        <v>1191</v>
      </c>
      <c r="B192" t="s">
        <v>196</v>
      </c>
      <c r="C192" t="s">
        <v>13</v>
      </c>
      <c r="D192" t="s">
        <v>33</v>
      </c>
      <c r="E192" t="s">
        <v>27</v>
      </c>
      <c r="F192" t="s">
        <v>62</v>
      </c>
      <c r="G192">
        <v>9</v>
      </c>
      <c r="H192">
        <v>1314.64</v>
      </c>
      <c r="I192">
        <v>13</v>
      </c>
      <c r="J192" t="s">
        <v>28</v>
      </c>
      <c r="K192" t="s">
        <v>18</v>
      </c>
      <c r="L192" t="s">
        <v>48</v>
      </c>
      <c r="M192">
        <f>Table1[[#This Row],[Quantity]]*Table1[[#This Row],[Unit_Price]]</f>
        <v>11831.76</v>
      </c>
      <c r="N192">
        <f>Table1[[#This Row],[Sales amount]]*Table1[[#This Row],[Discount]]/100</f>
        <v>1538.1288</v>
      </c>
      <c r="O192">
        <f>Table1[[#This Row],[Sales amount]]-Table1[[#This Row],[Discount amount]]</f>
        <v>10293.6312</v>
      </c>
      <c r="P192" t="str">
        <f>TEXT(Table1[[#This Row],[Order_Date]],"mmm")</f>
        <v>Jun</v>
      </c>
      <c r="Q192">
        <f>YEAR(Table1[[#This Row],[Order_Date]])</f>
        <v>2023</v>
      </c>
    </row>
    <row r="193" spans="1:17" x14ac:dyDescent="0.3">
      <c r="A193">
        <v>1192</v>
      </c>
      <c r="B193" t="s">
        <v>196</v>
      </c>
      <c r="C193" t="s">
        <v>52</v>
      </c>
      <c r="D193" t="s">
        <v>22</v>
      </c>
      <c r="E193" t="s">
        <v>27</v>
      </c>
      <c r="F193" t="s">
        <v>38</v>
      </c>
      <c r="G193">
        <v>5</v>
      </c>
      <c r="H193">
        <v>177.21</v>
      </c>
      <c r="I193">
        <v>8</v>
      </c>
      <c r="J193" t="s">
        <v>39</v>
      </c>
      <c r="K193" t="s">
        <v>29</v>
      </c>
      <c r="L193" t="s">
        <v>48</v>
      </c>
      <c r="M193">
        <f>Table1[[#This Row],[Quantity]]*Table1[[#This Row],[Unit_Price]]</f>
        <v>886.05000000000007</v>
      </c>
      <c r="N193">
        <f>Table1[[#This Row],[Sales amount]]*Table1[[#This Row],[Discount]]/100</f>
        <v>70.884</v>
      </c>
      <c r="O193">
        <f>Table1[[#This Row],[Sales amount]]-Table1[[#This Row],[Discount amount]]</f>
        <v>815.16600000000005</v>
      </c>
      <c r="P193" t="str">
        <f>TEXT(Table1[[#This Row],[Order_Date]],"mmm")</f>
        <v>Jun</v>
      </c>
      <c r="Q193">
        <f>YEAR(Table1[[#This Row],[Order_Date]])</f>
        <v>2023</v>
      </c>
    </row>
    <row r="194" spans="1:17" x14ac:dyDescent="0.3">
      <c r="A194">
        <v>1193</v>
      </c>
      <c r="B194" t="s">
        <v>197</v>
      </c>
      <c r="C194" t="s">
        <v>32</v>
      </c>
      <c r="D194" t="s">
        <v>22</v>
      </c>
      <c r="E194" t="s">
        <v>15</v>
      </c>
      <c r="F194" t="s">
        <v>44</v>
      </c>
      <c r="G194">
        <v>5</v>
      </c>
      <c r="H194">
        <v>2369.61</v>
      </c>
      <c r="I194">
        <v>4</v>
      </c>
      <c r="J194" t="s">
        <v>17</v>
      </c>
      <c r="K194" t="s">
        <v>40</v>
      </c>
      <c r="L194" t="s">
        <v>19</v>
      </c>
      <c r="M194">
        <f>Table1[[#This Row],[Quantity]]*Table1[[#This Row],[Unit_Price]]</f>
        <v>11848.050000000001</v>
      </c>
      <c r="N194">
        <f>Table1[[#This Row],[Sales amount]]*Table1[[#This Row],[Discount]]/100</f>
        <v>473.92200000000003</v>
      </c>
      <c r="O194">
        <f>Table1[[#This Row],[Sales amount]]-Table1[[#This Row],[Discount amount]]</f>
        <v>11374.128000000001</v>
      </c>
      <c r="P194" t="str">
        <f>TEXT(Table1[[#This Row],[Order_Date]],"mmm")</f>
        <v>May</v>
      </c>
      <c r="Q194">
        <f>YEAR(Table1[[#This Row],[Order_Date]])</f>
        <v>2023</v>
      </c>
    </row>
    <row r="195" spans="1:17" x14ac:dyDescent="0.3">
      <c r="A195">
        <v>1194</v>
      </c>
      <c r="B195" t="s">
        <v>198</v>
      </c>
      <c r="C195" t="s">
        <v>13</v>
      </c>
      <c r="D195" t="s">
        <v>47</v>
      </c>
      <c r="E195" t="s">
        <v>34</v>
      </c>
      <c r="F195" t="s">
        <v>44</v>
      </c>
      <c r="G195">
        <v>1</v>
      </c>
      <c r="H195">
        <v>1629.91</v>
      </c>
      <c r="I195">
        <v>20</v>
      </c>
      <c r="J195" t="s">
        <v>39</v>
      </c>
      <c r="K195" t="s">
        <v>18</v>
      </c>
      <c r="L195" t="s">
        <v>19</v>
      </c>
      <c r="M195">
        <f>Table1[[#This Row],[Quantity]]*Table1[[#This Row],[Unit_Price]]</f>
        <v>1629.91</v>
      </c>
      <c r="N195">
        <f>Table1[[#This Row],[Sales amount]]*Table1[[#This Row],[Discount]]/100</f>
        <v>325.98200000000003</v>
      </c>
      <c r="O195">
        <f>Table1[[#This Row],[Sales amount]]-Table1[[#This Row],[Discount amount]]</f>
        <v>1303.9280000000001</v>
      </c>
      <c r="P195" t="str">
        <f>TEXT(Table1[[#This Row],[Order_Date]],"mmm")</f>
        <v>May</v>
      </c>
      <c r="Q195">
        <f>YEAR(Table1[[#This Row],[Order_Date]])</f>
        <v>2023</v>
      </c>
    </row>
    <row r="196" spans="1:17" x14ac:dyDescent="0.3">
      <c r="A196">
        <v>1195</v>
      </c>
      <c r="B196" t="s">
        <v>45</v>
      </c>
      <c r="C196" t="s">
        <v>13</v>
      </c>
      <c r="D196" t="s">
        <v>22</v>
      </c>
      <c r="E196" t="s">
        <v>27</v>
      </c>
      <c r="F196" t="s">
        <v>38</v>
      </c>
      <c r="G196">
        <v>4</v>
      </c>
      <c r="H196">
        <v>1119.33</v>
      </c>
      <c r="I196">
        <v>28</v>
      </c>
      <c r="J196" t="s">
        <v>17</v>
      </c>
      <c r="K196" t="s">
        <v>29</v>
      </c>
      <c r="L196" t="s">
        <v>30</v>
      </c>
      <c r="M196">
        <f>Table1[[#This Row],[Quantity]]*Table1[[#This Row],[Unit_Price]]</f>
        <v>4477.32</v>
      </c>
      <c r="N196">
        <f>Table1[[#This Row],[Sales amount]]*Table1[[#This Row],[Discount]]/100</f>
        <v>1253.6496</v>
      </c>
      <c r="O196">
        <f>Table1[[#This Row],[Sales amount]]-Table1[[#This Row],[Discount amount]]</f>
        <v>3223.6704</v>
      </c>
      <c r="P196" t="str">
        <f>TEXT(Table1[[#This Row],[Order_Date]],"mmm")</f>
        <v>Aug</v>
      </c>
      <c r="Q196">
        <f>YEAR(Table1[[#This Row],[Order_Date]])</f>
        <v>2023</v>
      </c>
    </row>
    <row r="197" spans="1:17" x14ac:dyDescent="0.3">
      <c r="A197">
        <v>1196</v>
      </c>
      <c r="B197" t="s">
        <v>199</v>
      </c>
      <c r="C197" t="s">
        <v>46</v>
      </c>
      <c r="D197" t="s">
        <v>47</v>
      </c>
      <c r="E197" t="s">
        <v>15</v>
      </c>
      <c r="F197" t="s">
        <v>16</v>
      </c>
      <c r="G197">
        <v>4</v>
      </c>
      <c r="H197">
        <v>2554.3000000000002</v>
      </c>
      <c r="I197">
        <v>21</v>
      </c>
      <c r="J197" t="s">
        <v>39</v>
      </c>
      <c r="K197" t="s">
        <v>29</v>
      </c>
      <c r="L197" t="s">
        <v>19</v>
      </c>
      <c r="M197">
        <f>Table1[[#This Row],[Quantity]]*Table1[[#This Row],[Unit_Price]]</f>
        <v>10217.200000000001</v>
      </c>
      <c r="N197">
        <f>Table1[[#This Row],[Sales amount]]*Table1[[#This Row],[Discount]]/100</f>
        <v>2145.6120000000001</v>
      </c>
      <c r="O197">
        <f>Table1[[#This Row],[Sales amount]]-Table1[[#This Row],[Discount amount]]</f>
        <v>8071.5880000000006</v>
      </c>
      <c r="P197" t="str">
        <f>TEXT(Table1[[#This Row],[Order_Date]],"mmm")</f>
        <v>Feb</v>
      </c>
      <c r="Q197">
        <f>YEAR(Table1[[#This Row],[Order_Date]])</f>
        <v>2023</v>
      </c>
    </row>
    <row r="198" spans="1:17" x14ac:dyDescent="0.3">
      <c r="A198">
        <v>1197</v>
      </c>
      <c r="B198" t="s">
        <v>99</v>
      </c>
      <c r="C198" t="s">
        <v>52</v>
      </c>
      <c r="D198" t="s">
        <v>22</v>
      </c>
      <c r="E198" t="s">
        <v>34</v>
      </c>
      <c r="F198" t="s">
        <v>35</v>
      </c>
      <c r="G198">
        <v>1</v>
      </c>
      <c r="H198">
        <v>3746.4</v>
      </c>
      <c r="I198">
        <v>20</v>
      </c>
      <c r="J198" t="s">
        <v>28</v>
      </c>
      <c r="K198" t="s">
        <v>29</v>
      </c>
      <c r="L198" t="s">
        <v>19</v>
      </c>
      <c r="M198">
        <f>Table1[[#This Row],[Quantity]]*Table1[[#This Row],[Unit_Price]]</f>
        <v>3746.4</v>
      </c>
      <c r="N198">
        <f>Table1[[#This Row],[Sales amount]]*Table1[[#This Row],[Discount]]/100</f>
        <v>749.28</v>
      </c>
      <c r="O198">
        <f>Table1[[#This Row],[Sales amount]]-Table1[[#This Row],[Discount amount]]</f>
        <v>2997.12</v>
      </c>
      <c r="P198" t="str">
        <f>TEXT(Table1[[#This Row],[Order_Date]],"mmm")</f>
        <v>Jun</v>
      </c>
      <c r="Q198">
        <f>YEAR(Table1[[#This Row],[Order_Date]])</f>
        <v>2023</v>
      </c>
    </row>
    <row r="199" spans="1:17" x14ac:dyDescent="0.3">
      <c r="A199">
        <v>1198</v>
      </c>
      <c r="B199" t="s">
        <v>200</v>
      </c>
      <c r="C199" t="s">
        <v>46</v>
      </c>
      <c r="D199" t="s">
        <v>43</v>
      </c>
      <c r="E199" t="s">
        <v>15</v>
      </c>
      <c r="F199" t="s">
        <v>23</v>
      </c>
      <c r="G199">
        <v>4</v>
      </c>
      <c r="H199">
        <v>1306.6400000000001</v>
      </c>
      <c r="I199">
        <v>5</v>
      </c>
      <c r="J199" t="s">
        <v>24</v>
      </c>
      <c r="K199" t="s">
        <v>40</v>
      </c>
      <c r="L199" t="s">
        <v>19</v>
      </c>
      <c r="M199">
        <f>Table1[[#This Row],[Quantity]]*Table1[[#This Row],[Unit_Price]]</f>
        <v>5226.5600000000004</v>
      </c>
      <c r="N199">
        <f>Table1[[#This Row],[Sales amount]]*Table1[[#This Row],[Discount]]/100</f>
        <v>261.32800000000003</v>
      </c>
      <c r="O199">
        <f>Table1[[#This Row],[Sales amount]]-Table1[[#This Row],[Discount amount]]</f>
        <v>4965.232</v>
      </c>
      <c r="P199" t="str">
        <f>TEXT(Table1[[#This Row],[Order_Date]],"mmm")</f>
        <v>Aug</v>
      </c>
      <c r="Q199">
        <f>YEAR(Table1[[#This Row],[Order_Date]])</f>
        <v>2023</v>
      </c>
    </row>
    <row r="200" spans="1:17" x14ac:dyDescent="0.3">
      <c r="A200">
        <v>1199</v>
      </c>
      <c r="B200" t="s">
        <v>201</v>
      </c>
      <c r="C200" t="s">
        <v>54</v>
      </c>
      <c r="D200" t="s">
        <v>33</v>
      </c>
      <c r="E200" t="s">
        <v>27</v>
      </c>
      <c r="F200" t="s">
        <v>23</v>
      </c>
      <c r="G200">
        <v>4</v>
      </c>
      <c r="H200">
        <v>3705.86</v>
      </c>
      <c r="I200">
        <v>19</v>
      </c>
      <c r="J200" t="s">
        <v>17</v>
      </c>
      <c r="K200" t="s">
        <v>40</v>
      </c>
      <c r="L200" t="s">
        <v>48</v>
      </c>
      <c r="M200">
        <f>Table1[[#This Row],[Quantity]]*Table1[[#This Row],[Unit_Price]]</f>
        <v>14823.44</v>
      </c>
      <c r="N200">
        <f>Table1[[#This Row],[Sales amount]]*Table1[[#This Row],[Discount]]/100</f>
        <v>2816.4535999999998</v>
      </c>
      <c r="O200">
        <f>Table1[[#This Row],[Sales amount]]-Table1[[#This Row],[Discount amount]]</f>
        <v>12006.986400000002</v>
      </c>
      <c r="P200" t="str">
        <f>TEXT(Table1[[#This Row],[Order_Date]],"mmm")</f>
        <v>Dec</v>
      </c>
      <c r="Q200">
        <f>YEAR(Table1[[#This Row],[Order_Date]])</f>
        <v>2023</v>
      </c>
    </row>
    <row r="201" spans="1:17" x14ac:dyDescent="0.3">
      <c r="A201">
        <v>1200</v>
      </c>
      <c r="B201" t="s">
        <v>179</v>
      </c>
      <c r="C201" t="s">
        <v>54</v>
      </c>
      <c r="D201" t="s">
        <v>47</v>
      </c>
      <c r="E201" t="s">
        <v>15</v>
      </c>
      <c r="F201" t="s">
        <v>23</v>
      </c>
      <c r="G201">
        <v>7</v>
      </c>
      <c r="H201">
        <v>2184.86</v>
      </c>
      <c r="I201">
        <v>22</v>
      </c>
      <c r="J201" t="s">
        <v>24</v>
      </c>
      <c r="K201" t="s">
        <v>40</v>
      </c>
      <c r="L201" t="s">
        <v>30</v>
      </c>
      <c r="M201">
        <f>Table1[[#This Row],[Quantity]]*Table1[[#This Row],[Unit_Price]]</f>
        <v>15294.02</v>
      </c>
      <c r="N201">
        <f>Table1[[#This Row],[Sales amount]]*Table1[[#This Row],[Discount]]/100</f>
        <v>3364.6844000000001</v>
      </c>
      <c r="O201">
        <f>Table1[[#This Row],[Sales amount]]-Table1[[#This Row],[Discount amount]]</f>
        <v>11929.3356</v>
      </c>
      <c r="P201" t="str">
        <f>TEXT(Table1[[#This Row],[Order_Date]],"mmm")</f>
        <v>Mar</v>
      </c>
      <c r="Q201">
        <f>YEAR(Table1[[#This Row],[Order_Date]])</f>
        <v>2023</v>
      </c>
    </row>
    <row r="202" spans="1:17" x14ac:dyDescent="0.3">
      <c r="A202">
        <v>1201</v>
      </c>
      <c r="B202" t="s">
        <v>202</v>
      </c>
      <c r="C202" t="s">
        <v>52</v>
      </c>
      <c r="D202" t="s">
        <v>47</v>
      </c>
      <c r="E202" t="s">
        <v>15</v>
      </c>
      <c r="F202" t="s">
        <v>44</v>
      </c>
      <c r="G202">
        <v>5</v>
      </c>
      <c r="H202">
        <v>1753.1</v>
      </c>
      <c r="I202">
        <v>20</v>
      </c>
      <c r="J202" t="s">
        <v>24</v>
      </c>
      <c r="K202" t="s">
        <v>40</v>
      </c>
      <c r="L202" t="s">
        <v>19</v>
      </c>
      <c r="M202">
        <f>Table1[[#This Row],[Quantity]]*Table1[[#This Row],[Unit_Price]]</f>
        <v>8765.5</v>
      </c>
      <c r="N202">
        <f>Table1[[#This Row],[Sales amount]]*Table1[[#This Row],[Discount]]/100</f>
        <v>1753.1</v>
      </c>
      <c r="O202">
        <f>Table1[[#This Row],[Sales amount]]-Table1[[#This Row],[Discount amount]]</f>
        <v>7012.4</v>
      </c>
      <c r="P202" t="str">
        <f>TEXT(Table1[[#This Row],[Order_Date]],"mmm")</f>
        <v>Mar</v>
      </c>
      <c r="Q202">
        <f>YEAR(Table1[[#This Row],[Order_Date]])</f>
        <v>2023</v>
      </c>
    </row>
    <row r="203" spans="1:17" x14ac:dyDescent="0.3">
      <c r="A203">
        <v>1202</v>
      </c>
      <c r="B203" t="s">
        <v>203</v>
      </c>
      <c r="C203" t="s">
        <v>65</v>
      </c>
      <c r="D203" t="s">
        <v>22</v>
      </c>
      <c r="E203" t="s">
        <v>27</v>
      </c>
      <c r="F203" t="s">
        <v>38</v>
      </c>
      <c r="G203">
        <v>8</v>
      </c>
      <c r="H203">
        <v>3143.06</v>
      </c>
      <c r="I203">
        <v>7</v>
      </c>
      <c r="J203" t="s">
        <v>17</v>
      </c>
      <c r="K203" t="s">
        <v>40</v>
      </c>
      <c r="L203" t="s">
        <v>19</v>
      </c>
      <c r="M203">
        <f>Table1[[#This Row],[Quantity]]*Table1[[#This Row],[Unit_Price]]</f>
        <v>25144.48</v>
      </c>
      <c r="N203">
        <f>Table1[[#This Row],[Sales amount]]*Table1[[#This Row],[Discount]]/100</f>
        <v>1760.1135999999999</v>
      </c>
      <c r="O203">
        <f>Table1[[#This Row],[Sales amount]]-Table1[[#This Row],[Discount amount]]</f>
        <v>23384.366399999999</v>
      </c>
      <c r="P203" t="str">
        <f>TEXT(Table1[[#This Row],[Order_Date]],"mmm")</f>
        <v>Jan</v>
      </c>
      <c r="Q203">
        <f>YEAR(Table1[[#This Row],[Order_Date]])</f>
        <v>2023</v>
      </c>
    </row>
    <row r="204" spans="1:17" x14ac:dyDescent="0.3">
      <c r="A204">
        <v>1203</v>
      </c>
      <c r="B204" t="s">
        <v>204</v>
      </c>
      <c r="C204" t="s">
        <v>42</v>
      </c>
      <c r="D204" t="s">
        <v>22</v>
      </c>
      <c r="E204" t="s">
        <v>27</v>
      </c>
      <c r="F204" t="s">
        <v>62</v>
      </c>
      <c r="G204">
        <v>2</v>
      </c>
      <c r="H204">
        <v>140.54</v>
      </c>
      <c r="I204">
        <v>26</v>
      </c>
      <c r="J204" t="s">
        <v>39</v>
      </c>
      <c r="K204" t="s">
        <v>40</v>
      </c>
      <c r="L204" t="s">
        <v>19</v>
      </c>
      <c r="M204">
        <f>Table1[[#This Row],[Quantity]]*Table1[[#This Row],[Unit_Price]]</f>
        <v>281.08</v>
      </c>
      <c r="N204">
        <f>Table1[[#This Row],[Sales amount]]*Table1[[#This Row],[Discount]]/100</f>
        <v>73.080799999999996</v>
      </c>
      <c r="O204">
        <f>Table1[[#This Row],[Sales amount]]-Table1[[#This Row],[Discount amount]]</f>
        <v>207.99919999999997</v>
      </c>
      <c r="P204" t="str">
        <f>TEXT(Table1[[#This Row],[Order_Date]],"mmm")</f>
        <v>Feb</v>
      </c>
      <c r="Q204">
        <f>YEAR(Table1[[#This Row],[Order_Date]])</f>
        <v>2023</v>
      </c>
    </row>
    <row r="205" spans="1:17" x14ac:dyDescent="0.3">
      <c r="A205">
        <v>1204</v>
      </c>
      <c r="B205" t="s">
        <v>205</v>
      </c>
      <c r="C205" t="s">
        <v>21</v>
      </c>
      <c r="D205" t="s">
        <v>47</v>
      </c>
      <c r="E205" t="s">
        <v>27</v>
      </c>
      <c r="F205" t="s">
        <v>16</v>
      </c>
      <c r="G205">
        <v>5</v>
      </c>
      <c r="H205">
        <v>4701.0200000000004</v>
      </c>
      <c r="I205">
        <v>6</v>
      </c>
      <c r="J205" t="s">
        <v>39</v>
      </c>
      <c r="K205" t="s">
        <v>18</v>
      </c>
      <c r="L205" t="s">
        <v>48</v>
      </c>
      <c r="M205">
        <f>Table1[[#This Row],[Quantity]]*Table1[[#This Row],[Unit_Price]]</f>
        <v>23505.100000000002</v>
      </c>
      <c r="N205">
        <f>Table1[[#This Row],[Sales amount]]*Table1[[#This Row],[Discount]]/100</f>
        <v>1410.306</v>
      </c>
      <c r="O205">
        <f>Table1[[#This Row],[Sales amount]]-Table1[[#This Row],[Discount amount]]</f>
        <v>22094.794000000002</v>
      </c>
      <c r="P205" t="str">
        <f>TEXT(Table1[[#This Row],[Order_Date]],"mmm")</f>
        <v>May</v>
      </c>
      <c r="Q205">
        <f>YEAR(Table1[[#This Row],[Order_Date]])</f>
        <v>2023</v>
      </c>
    </row>
    <row r="206" spans="1:17" x14ac:dyDescent="0.3">
      <c r="A206">
        <v>1205</v>
      </c>
      <c r="B206" t="s">
        <v>206</v>
      </c>
      <c r="C206" t="s">
        <v>54</v>
      </c>
      <c r="D206" t="s">
        <v>14</v>
      </c>
      <c r="E206" t="s">
        <v>15</v>
      </c>
      <c r="F206" t="s">
        <v>44</v>
      </c>
      <c r="G206">
        <v>1</v>
      </c>
      <c r="H206">
        <v>2840.21</v>
      </c>
      <c r="I206">
        <v>13</v>
      </c>
      <c r="J206" t="s">
        <v>39</v>
      </c>
      <c r="K206" t="s">
        <v>40</v>
      </c>
      <c r="L206" t="s">
        <v>19</v>
      </c>
      <c r="M206">
        <f>Table1[[#This Row],[Quantity]]*Table1[[#This Row],[Unit_Price]]</f>
        <v>2840.21</v>
      </c>
      <c r="N206">
        <f>Table1[[#This Row],[Sales amount]]*Table1[[#This Row],[Discount]]/100</f>
        <v>369.22730000000001</v>
      </c>
      <c r="O206">
        <f>Table1[[#This Row],[Sales amount]]-Table1[[#This Row],[Discount amount]]</f>
        <v>2470.9827</v>
      </c>
      <c r="P206" t="str">
        <f>TEXT(Table1[[#This Row],[Order_Date]],"mmm")</f>
        <v>Sep</v>
      </c>
      <c r="Q206">
        <f>YEAR(Table1[[#This Row],[Order_Date]])</f>
        <v>2023</v>
      </c>
    </row>
    <row r="207" spans="1:17" x14ac:dyDescent="0.3">
      <c r="A207">
        <v>1206</v>
      </c>
      <c r="B207" t="s">
        <v>207</v>
      </c>
      <c r="C207" t="s">
        <v>42</v>
      </c>
      <c r="D207" t="s">
        <v>43</v>
      </c>
      <c r="E207" t="s">
        <v>27</v>
      </c>
      <c r="F207" t="s">
        <v>23</v>
      </c>
      <c r="G207">
        <v>8</v>
      </c>
      <c r="H207">
        <v>4548.5600000000004</v>
      </c>
      <c r="I207">
        <v>18</v>
      </c>
      <c r="J207" t="s">
        <v>28</v>
      </c>
      <c r="K207" t="s">
        <v>29</v>
      </c>
      <c r="L207" t="s">
        <v>48</v>
      </c>
      <c r="M207">
        <f>Table1[[#This Row],[Quantity]]*Table1[[#This Row],[Unit_Price]]</f>
        <v>36388.480000000003</v>
      </c>
      <c r="N207">
        <f>Table1[[#This Row],[Sales amount]]*Table1[[#This Row],[Discount]]/100</f>
        <v>6549.9264000000003</v>
      </c>
      <c r="O207">
        <f>Table1[[#This Row],[Sales amount]]-Table1[[#This Row],[Discount amount]]</f>
        <v>29838.553600000003</v>
      </c>
      <c r="P207" t="str">
        <f>TEXT(Table1[[#This Row],[Order_Date]],"mmm")</f>
        <v>Mar</v>
      </c>
      <c r="Q207">
        <f>YEAR(Table1[[#This Row],[Order_Date]])</f>
        <v>2023</v>
      </c>
    </row>
    <row r="208" spans="1:17" x14ac:dyDescent="0.3">
      <c r="A208">
        <v>1207</v>
      </c>
      <c r="B208" t="s">
        <v>208</v>
      </c>
      <c r="C208" t="s">
        <v>13</v>
      </c>
      <c r="D208" t="s">
        <v>33</v>
      </c>
      <c r="E208" t="s">
        <v>34</v>
      </c>
      <c r="F208" t="s">
        <v>35</v>
      </c>
      <c r="G208">
        <v>3</v>
      </c>
      <c r="H208">
        <v>1999.98</v>
      </c>
      <c r="I208">
        <v>30</v>
      </c>
      <c r="J208" t="s">
        <v>17</v>
      </c>
      <c r="K208" t="s">
        <v>29</v>
      </c>
      <c r="L208" t="s">
        <v>48</v>
      </c>
      <c r="M208">
        <f>Table1[[#This Row],[Quantity]]*Table1[[#This Row],[Unit_Price]]</f>
        <v>5999.9400000000005</v>
      </c>
      <c r="N208">
        <f>Table1[[#This Row],[Sales amount]]*Table1[[#This Row],[Discount]]/100</f>
        <v>1799.9820000000002</v>
      </c>
      <c r="O208">
        <f>Table1[[#This Row],[Sales amount]]-Table1[[#This Row],[Discount amount]]</f>
        <v>4199.9580000000005</v>
      </c>
      <c r="P208" t="str">
        <f>TEXT(Table1[[#This Row],[Order_Date]],"mmm")</f>
        <v>Aug</v>
      </c>
      <c r="Q208">
        <f>YEAR(Table1[[#This Row],[Order_Date]])</f>
        <v>2023</v>
      </c>
    </row>
    <row r="209" spans="1:17" x14ac:dyDescent="0.3">
      <c r="A209">
        <v>1208</v>
      </c>
      <c r="B209" t="s">
        <v>209</v>
      </c>
      <c r="C209" t="s">
        <v>46</v>
      </c>
      <c r="D209" t="s">
        <v>22</v>
      </c>
      <c r="E209" t="s">
        <v>15</v>
      </c>
      <c r="F209" t="s">
        <v>16</v>
      </c>
      <c r="G209">
        <v>10</v>
      </c>
      <c r="H209">
        <v>259.08</v>
      </c>
      <c r="I209">
        <v>17</v>
      </c>
      <c r="J209" t="s">
        <v>24</v>
      </c>
      <c r="K209" t="s">
        <v>18</v>
      </c>
      <c r="L209" t="s">
        <v>30</v>
      </c>
      <c r="M209">
        <f>Table1[[#This Row],[Quantity]]*Table1[[#This Row],[Unit_Price]]</f>
        <v>2590.7999999999997</v>
      </c>
      <c r="N209">
        <f>Table1[[#This Row],[Sales amount]]*Table1[[#This Row],[Discount]]/100</f>
        <v>440.43599999999998</v>
      </c>
      <c r="O209">
        <f>Table1[[#This Row],[Sales amount]]-Table1[[#This Row],[Discount amount]]</f>
        <v>2150.3639999999996</v>
      </c>
      <c r="P209" t="str">
        <f>TEXT(Table1[[#This Row],[Order_Date]],"mmm")</f>
        <v>May</v>
      </c>
      <c r="Q209">
        <f>YEAR(Table1[[#This Row],[Order_Date]])</f>
        <v>2023</v>
      </c>
    </row>
    <row r="210" spans="1:17" x14ac:dyDescent="0.3">
      <c r="A210">
        <v>1209</v>
      </c>
      <c r="B210" t="s">
        <v>210</v>
      </c>
      <c r="C210" t="s">
        <v>65</v>
      </c>
      <c r="D210" t="s">
        <v>43</v>
      </c>
      <c r="E210" t="s">
        <v>27</v>
      </c>
      <c r="F210" t="s">
        <v>16</v>
      </c>
      <c r="G210">
        <v>7</v>
      </c>
      <c r="H210">
        <v>1478.34</v>
      </c>
      <c r="I210">
        <v>17</v>
      </c>
      <c r="J210" t="s">
        <v>28</v>
      </c>
      <c r="K210" t="s">
        <v>29</v>
      </c>
      <c r="L210" t="s">
        <v>30</v>
      </c>
      <c r="M210">
        <f>Table1[[#This Row],[Quantity]]*Table1[[#This Row],[Unit_Price]]</f>
        <v>10348.379999999999</v>
      </c>
      <c r="N210">
        <f>Table1[[#This Row],[Sales amount]]*Table1[[#This Row],[Discount]]/100</f>
        <v>1759.2246</v>
      </c>
      <c r="O210">
        <f>Table1[[#This Row],[Sales amount]]-Table1[[#This Row],[Discount amount]]</f>
        <v>8589.1553999999996</v>
      </c>
      <c r="P210" t="str">
        <f>TEXT(Table1[[#This Row],[Order_Date]],"mmm")</f>
        <v>Jul</v>
      </c>
      <c r="Q210">
        <f>YEAR(Table1[[#This Row],[Order_Date]])</f>
        <v>2023</v>
      </c>
    </row>
    <row r="211" spans="1:17" x14ac:dyDescent="0.3">
      <c r="A211">
        <v>1210</v>
      </c>
      <c r="B211" t="s">
        <v>146</v>
      </c>
      <c r="C211" t="s">
        <v>52</v>
      </c>
      <c r="D211" t="s">
        <v>47</v>
      </c>
      <c r="E211" t="s">
        <v>27</v>
      </c>
      <c r="F211" t="s">
        <v>35</v>
      </c>
      <c r="G211">
        <v>3</v>
      </c>
      <c r="H211">
        <v>881.92</v>
      </c>
      <c r="I211">
        <v>1</v>
      </c>
      <c r="J211" t="s">
        <v>39</v>
      </c>
      <c r="K211" t="s">
        <v>40</v>
      </c>
      <c r="L211" t="s">
        <v>30</v>
      </c>
      <c r="M211">
        <f>Table1[[#This Row],[Quantity]]*Table1[[#This Row],[Unit_Price]]</f>
        <v>2645.7599999999998</v>
      </c>
      <c r="N211">
        <f>Table1[[#This Row],[Sales amount]]*Table1[[#This Row],[Discount]]/100</f>
        <v>26.457599999999999</v>
      </c>
      <c r="O211">
        <f>Table1[[#This Row],[Sales amount]]-Table1[[#This Row],[Discount amount]]</f>
        <v>2619.3023999999996</v>
      </c>
      <c r="P211" t="str">
        <f>TEXT(Table1[[#This Row],[Order_Date]],"mmm")</f>
        <v>Nov</v>
      </c>
      <c r="Q211">
        <f>YEAR(Table1[[#This Row],[Order_Date]])</f>
        <v>2023</v>
      </c>
    </row>
    <row r="212" spans="1:17" x14ac:dyDescent="0.3">
      <c r="A212">
        <v>1211</v>
      </c>
      <c r="B212" t="s">
        <v>211</v>
      </c>
      <c r="C212" t="s">
        <v>42</v>
      </c>
      <c r="D212" t="s">
        <v>47</v>
      </c>
      <c r="E212" t="s">
        <v>27</v>
      </c>
      <c r="F212" t="s">
        <v>35</v>
      </c>
      <c r="G212">
        <v>5</v>
      </c>
      <c r="H212">
        <v>1984.22</v>
      </c>
      <c r="I212">
        <v>14</v>
      </c>
      <c r="J212" t="s">
        <v>24</v>
      </c>
      <c r="K212" t="s">
        <v>18</v>
      </c>
      <c r="L212" t="s">
        <v>19</v>
      </c>
      <c r="M212">
        <f>Table1[[#This Row],[Quantity]]*Table1[[#This Row],[Unit_Price]]</f>
        <v>9921.1</v>
      </c>
      <c r="N212">
        <f>Table1[[#This Row],[Sales amount]]*Table1[[#This Row],[Discount]]/100</f>
        <v>1388.954</v>
      </c>
      <c r="O212">
        <f>Table1[[#This Row],[Sales amount]]-Table1[[#This Row],[Discount amount]]</f>
        <v>8532.1460000000006</v>
      </c>
      <c r="P212" t="str">
        <f>TEXT(Table1[[#This Row],[Order_Date]],"mmm")</f>
        <v>Oct</v>
      </c>
      <c r="Q212">
        <f>YEAR(Table1[[#This Row],[Order_Date]])</f>
        <v>2023</v>
      </c>
    </row>
    <row r="213" spans="1:17" x14ac:dyDescent="0.3">
      <c r="A213">
        <v>1212</v>
      </c>
      <c r="B213" t="s">
        <v>167</v>
      </c>
      <c r="C213" t="s">
        <v>13</v>
      </c>
      <c r="D213" t="s">
        <v>22</v>
      </c>
      <c r="E213" t="s">
        <v>34</v>
      </c>
      <c r="F213" t="s">
        <v>23</v>
      </c>
      <c r="G213">
        <v>10</v>
      </c>
      <c r="H213">
        <v>1178.79</v>
      </c>
      <c r="I213">
        <v>28</v>
      </c>
      <c r="J213" t="s">
        <v>39</v>
      </c>
      <c r="K213" t="s">
        <v>29</v>
      </c>
      <c r="L213" t="s">
        <v>30</v>
      </c>
      <c r="M213">
        <f>Table1[[#This Row],[Quantity]]*Table1[[#This Row],[Unit_Price]]</f>
        <v>11787.9</v>
      </c>
      <c r="N213">
        <f>Table1[[#This Row],[Sales amount]]*Table1[[#This Row],[Discount]]/100</f>
        <v>3300.6120000000001</v>
      </c>
      <c r="O213">
        <f>Table1[[#This Row],[Sales amount]]-Table1[[#This Row],[Discount amount]]</f>
        <v>8487.2880000000005</v>
      </c>
      <c r="P213" t="str">
        <f>TEXT(Table1[[#This Row],[Order_Date]],"mmm")</f>
        <v>Dec</v>
      </c>
      <c r="Q213">
        <f>YEAR(Table1[[#This Row],[Order_Date]])</f>
        <v>2023</v>
      </c>
    </row>
    <row r="214" spans="1:17" x14ac:dyDescent="0.3">
      <c r="A214">
        <v>1213</v>
      </c>
      <c r="B214" t="s">
        <v>212</v>
      </c>
      <c r="C214" t="s">
        <v>21</v>
      </c>
      <c r="D214" t="s">
        <v>33</v>
      </c>
      <c r="E214" t="s">
        <v>27</v>
      </c>
      <c r="F214" t="s">
        <v>62</v>
      </c>
      <c r="G214">
        <v>2</v>
      </c>
      <c r="H214">
        <v>509.71</v>
      </c>
      <c r="I214">
        <v>24</v>
      </c>
      <c r="J214" t="s">
        <v>39</v>
      </c>
      <c r="K214" t="s">
        <v>18</v>
      </c>
      <c r="L214" t="s">
        <v>30</v>
      </c>
      <c r="M214">
        <f>Table1[[#This Row],[Quantity]]*Table1[[#This Row],[Unit_Price]]</f>
        <v>1019.42</v>
      </c>
      <c r="N214">
        <f>Table1[[#This Row],[Sales amount]]*Table1[[#This Row],[Discount]]/100</f>
        <v>244.66079999999999</v>
      </c>
      <c r="O214">
        <f>Table1[[#This Row],[Sales amount]]-Table1[[#This Row],[Discount amount]]</f>
        <v>774.75919999999996</v>
      </c>
      <c r="P214" t="str">
        <f>TEXT(Table1[[#This Row],[Order_Date]],"mmm")</f>
        <v>Jun</v>
      </c>
      <c r="Q214">
        <f>YEAR(Table1[[#This Row],[Order_Date]])</f>
        <v>2023</v>
      </c>
    </row>
    <row r="215" spans="1:17" x14ac:dyDescent="0.3">
      <c r="A215">
        <v>1214</v>
      </c>
      <c r="B215" t="s">
        <v>130</v>
      </c>
      <c r="C215" t="s">
        <v>54</v>
      </c>
      <c r="D215" t="s">
        <v>22</v>
      </c>
      <c r="E215" t="s">
        <v>15</v>
      </c>
      <c r="F215" t="s">
        <v>62</v>
      </c>
      <c r="G215">
        <v>7</v>
      </c>
      <c r="H215">
        <v>2990.56</v>
      </c>
      <c r="I215">
        <v>16</v>
      </c>
      <c r="J215" t="s">
        <v>28</v>
      </c>
      <c r="K215" t="s">
        <v>29</v>
      </c>
      <c r="L215" t="s">
        <v>48</v>
      </c>
      <c r="M215">
        <f>Table1[[#This Row],[Quantity]]*Table1[[#This Row],[Unit_Price]]</f>
        <v>20933.919999999998</v>
      </c>
      <c r="N215">
        <f>Table1[[#This Row],[Sales amount]]*Table1[[#This Row],[Discount]]/100</f>
        <v>3349.4271999999996</v>
      </c>
      <c r="O215">
        <f>Table1[[#This Row],[Sales amount]]-Table1[[#This Row],[Discount amount]]</f>
        <v>17584.4928</v>
      </c>
      <c r="P215" t="str">
        <f>TEXT(Table1[[#This Row],[Order_Date]],"mmm")</f>
        <v>Sep</v>
      </c>
      <c r="Q215">
        <f>YEAR(Table1[[#This Row],[Order_Date]])</f>
        <v>2023</v>
      </c>
    </row>
    <row r="216" spans="1:17" x14ac:dyDescent="0.3">
      <c r="A216">
        <v>1215</v>
      </c>
      <c r="B216" t="s">
        <v>213</v>
      </c>
      <c r="C216" t="s">
        <v>13</v>
      </c>
      <c r="D216" t="s">
        <v>22</v>
      </c>
      <c r="E216" t="s">
        <v>27</v>
      </c>
      <c r="F216" t="s">
        <v>44</v>
      </c>
      <c r="G216">
        <v>10</v>
      </c>
      <c r="H216">
        <v>245.29</v>
      </c>
      <c r="I216">
        <v>7</v>
      </c>
      <c r="J216" t="s">
        <v>28</v>
      </c>
      <c r="K216" t="s">
        <v>40</v>
      </c>
      <c r="L216" t="s">
        <v>48</v>
      </c>
      <c r="M216">
        <f>Table1[[#This Row],[Quantity]]*Table1[[#This Row],[Unit_Price]]</f>
        <v>2452.9</v>
      </c>
      <c r="N216">
        <f>Table1[[#This Row],[Sales amount]]*Table1[[#This Row],[Discount]]/100</f>
        <v>171.703</v>
      </c>
      <c r="O216">
        <f>Table1[[#This Row],[Sales amount]]-Table1[[#This Row],[Discount amount]]</f>
        <v>2281.1970000000001</v>
      </c>
      <c r="P216" t="str">
        <f>TEXT(Table1[[#This Row],[Order_Date]],"mmm")</f>
        <v>Sep</v>
      </c>
      <c r="Q216">
        <f>YEAR(Table1[[#This Row],[Order_Date]])</f>
        <v>2023</v>
      </c>
    </row>
    <row r="217" spans="1:17" x14ac:dyDescent="0.3">
      <c r="A217">
        <v>1216</v>
      </c>
      <c r="B217" t="s">
        <v>214</v>
      </c>
      <c r="C217" t="s">
        <v>65</v>
      </c>
      <c r="D217" t="s">
        <v>43</v>
      </c>
      <c r="E217" t="s">
        <v>15</v>
      </c>
      <c r="F217" t="s">
        <v>35</v>
      </c>
      <c r="G217">
        <v>8</v>
      </c>
      <c r="H217">
        <v>4919.93</v>
      </c>
      <c r="I217">
        <v>26</v>
      </c>
      <c r="J217" t="s">
        <v>28</v>
      </c>
      <c r="K217" t="s">
        <v>29</v>
      </c>
      <c r="L217" t="s">
        <v>30</v>
      </c>
      <c r="M217">
        <f>Table1[[#This Row],[Quantity]]*Table1[[#This Row],[Unit_Price]]</f>
        <v>39359.440000000002</v>
      </c>
      <c r="N217">
        <f>Table1[[#This Row],[Sales amount]]*Table1[[#This Row],[Discount]]/100</f>
        <v>10233.454400000001</v>
      </c>
      <c r="O217">
        <f>Table1[[#This Row],[Sales amount]]-Table1[[#This Row],[Discount amount]]</f>
        <v>29125.9856</v>
      </c>
      <c r="P217" t="str">
        <f>TEXT(Table1[[#This Row],[Order_Date]],"mmm")</f>
        <v>Sep</v>
      </c>
      <c r="Q217">
        <f>YEAR(Table1[[#This Row],[Order_Date]])</f>
        <v>2023</v>
      </c>
    </row>
    <row r="218" spans="1:17" x14ac:dyDescent="0.3">
      <c r="A218">
        <v>1217</v>
      </c>
      <c r="B218" t="s">
        <v>215</v>
      </c>
      <c r="C218" t="s">
        <v>21</v>
      </c>
      <c r="D218" t="s">
        <v>47</v>
      </c>
      <c r="E218" t="s">
        <v>34</v>
      </c>
      <c r="F218" t="s">
        <v>16</v>
      </c>
      <c r="G218">
        <v>4</v>
      </c>
      <c r="H218">
        <v>1956.4</v>
      </c>
      <c r="I218">
        <v>23</v>
      </c>
      <c r="J218" t="s">
        <v>28</v>
      </c>
      <c r="K218" t="s">
        <v>29</v>
      </c>
      <c r="L218" t="s">
        <v>19</v>
      </c>
      <c r="M218">
        <f>Table1[[#This Row],[Quantity]]*Table1[[#This Row],[Unit_Price]]</f>
        <v>7825.6</v>
      </c>
      <c r="N218">
        <f>Table1[[#This Row],[Sales amount]]*Table1[[#This Row],[Discount]]/100</f>
        <v>1799.8880000000001</v>
      </c>
      <c r="O218">
        <f>Table1[[#This Row],[Sales amount]]-Table1[[#This Row],[Discount amount]]</f>
        <v>6025.7120000000004</v>
      </c>
      <c r="P218" t="str">
        <f>TEXT(Table1[[#This Row],[Order_Date]],"mmm")</f>
        <v>Oct</v>
      </c>
      <c r="Q218">
        <f>YEAR(Table1[[#This Row],[Order_Date]])</f>
        <v>2023</v>
      </c>
    </row>
    <row r="219" spans="1:17" x14ac:dyDescent="0.3">
      <c r="A219">
        <v>1218</v>
      </c>
      <c r="B219" t="s">
        <v>123</v>
      </c>
      <c r="C219" t="s">
        <v>52</v>
      </c>
      <c r="D219" t="s">
        <v>22</v>
      </c>
      <c r="E219" t="s">
        <v>15</v>
      </c>
      <c r="F219" t="s">
        <v>35</v>
      </c>
      <c r="G219">
        <v>5</v>
      </c>
      <c r="H219">
        <v>1549.68</v>
      </c>
      <c r="I219">
        <v>29</v>
      </c>
      <c r="J219" t="s">
        <v>39</v>
      </c>
      <c r="K219" t="s">
        <v>18</v>
      </c>
      <c r="L219" t="s">
        <v>48</v>
      </c>
      <c r="M219">
        <f>Table1[[#This Row],[Quantity]]*Table1[[#This Row],[Unit_Price]]</f>
        <v>7748.4000000000005</v>
      </c>
      <c r="N219">
        <f>Table1[[#This Row],[Sales amount]]*Table1[[#This Row],[Discount]]/100</f>
        <v>2247.0360000000001</v>
      </c>
      <c r="O219">
        <f>Table1[[#This Row],[Sales amount]]-Table1[[#This Row],[Discount amount]]</f>
        <v>5501.3640000000005</v>
      </c>
      <c r="P219" t="str">
        <f>TEXT(Table1[[#This Row],[Order_Date]],"mmm")</f>
        <v>Jan</v>
      </c>
      <c r="Q219">
        <f>YEAR(Table1[[#This Row],[Order_Date]])</f>
        <v>2023</v>
      </c>
    </row>
    <row r="220" spans="1:17" x14ac:dyDescent="0.3">
      <c r="A220">
        <v>1219</v>
      </c>
      <c r="B220" t="s">
        <v>216</v>
      </c>
      <c r="C220" t="s">
        <v>21</v>
      </c>
      <c r="D220" t="s">
        <v>14</v>
      </c>
      <c r="E220" t="s">
        <v>15</v>
      </c>
      <c r="F220" t="s">
        <v>35</v>
      </c>
      <c r="G220">
        <v>7</v>
      </c>
      <c r="H220">
        <v>559.86</v>
      </c>
      <c r="I220">
        <v>7</v>
      </c>
      <c r="J220" t="s">
        <v>28</v>
      </c>
      <c r="K220" t="s">
        <v>18</v>
      </c>
      <c r="L220" t="s">
        <v>48</v>
      </c>
      <c r="M220">
        <f>Table1[[#This Row],[Quantity]]*Table1[[#This Row],[Unit_Price]]</f>
        <v>3919.02</v>
      </c>
      <c r="N220">
        <f>Table1[[#This Row],[Sales amount]]*Table1[[#This Row],[Discount]]/100</f>
        <v>274.33139999999997</v>
      </c>
      <c r="O220">
        <f>Table1[[#This Row],[Sales amount]]-Table1[[#This Row],[Discount amount]]</f>
        <v>3644.6886</v>
      </c>
      <c r="P220" t="str">
        <f>TEXT(Table1[[#This Row],[Order_Date]],"mmm")</f>
        <v>Oct</v>
      </c>
      <c r="Q220">
        <f>YEAR(Table1[[#This Row],[Order_Date]])</f>
        <v>2023</v>
      </c>
    </row>
    <row r="221" spans="1:17" x14ac:dyDescent="0.3">
      <c r="A221">
        <v>1220</v>
      </c>
      <c r="B221" t="s">
        <v>217</v>
      </c>
      <c r="C221" t="s">
        <v>21</v>
      </c>
      <c r="D221" t="s">
        <v>47</v>
      </c>
      <c r="E221" t="s">
        <v>27</v>
      </c>
      <c r="F221" t="s">
        <v>16</v>
      </c>
      <c r="G221">
        <v>6</v>
      </c>
      <c r="H221">
        <v>959.34</v>
      </c>
      <c r="I221">
        <v>18</v>
      </c>
      <c r="J221" t="s">
        <v>28</v>
      </c>
      <c r="K221" t="s">
        <v>40</v>
      </c>
      <c r="L221" t="s">
        <v>30</v>
      </c>
      <c r="M221">
        <f>Table1[[#This Row],[Quantity]]*Table1[[#This Row],[Unit_Price]]</f>
        <v>5756.04</v>
      </c>
      <c r="N221">
        <f>Table1[[#This Row],[Sales amount]]*Table1[[#This Row],[Discount]]/100</f>
        <v>1036.0871999999999</v>
      </c>
      <c r="O221">
        <f>Table1[[#This Row],[Sales amount]]-Table1[[#This Row],[Discount amount]]</f>
        <v>4719.9528</v>
      </c>
      <c r="P221" t="str">
        <f>TEXT(Table1[[#This Row],[Order_Date]],"mmm")</f>
        <v>Jan</v>
      </c>
      <c r="Q221">
        <f>YEAR(Table1[[#This Row],[Order_Date]])</f>
        <v>2023</v>
      </c>
    </row>
    <row r="222" spans="1:17" x14ac:dyDescent="0.3">
      <c r="A222">
        <v>1221</v>
      </c>
      <c r="B222" t="s">
        <v>218</v>
      </c>
      <c r="C222" t="s">
        <v>13</v>
      </c>
      <c r="D222" t="s">
        <v>22</v>
      </c>
      <c r="E222" t="s">
        <v>15</v>
      </c>
      <c r="F222" t="s">
        <v>16</v>
      </c>
      <c r="G222">
        <v>9</v>
      </c>
      <c r="H222">
        <v>4993.1000000000004</v>
      </c>
      <c r="I222">
        <v>9</v>
      </c>
      <c r="J222" t="s">
        <v>24</v>
      </c>
      <c r="K222" t="s">
        <v>29</v>
      </c>
      <c r="L222" t="s">
        <v>19</v>
      </c>
      <c r="M222">
        <f>Table1[[#This Row],[Quantity]]*Table1[[#This Row],[Unit_Price]]</f>
        <v>44937.9</v>
      </c>
      <c r="N222">
        <f>Table1[[#This Row],[Sales amount]]*Table1[[#This Row],[Discount]]/100</f>
        <v>4044.4110000000005</v>
      </c>
      <c r="O222">
        <f>Table1[[#This Row],[Sales amount]]-Table1[[#This Row],[Discount amount]]</f>
        <v>40893.489000000001</v>
      </c>
      <c r="P222" t="str">
        <f>TEXT(Table1[[#This Row],[Order_Date]],"mmm")</f>
        <v>Feb</v>
      </c>
      <c r="Q222">
        <f>YEAR(Table1[[#This Row],[Order_Date]])</f>
        <v>2023</v>
      </c>
    </row>
    <row r="223" spans="1:17" x14ac:dyDescent="0.3">
      <c r="A223">
        <v>1222</v>
      </c>
      <c r="B223" t="s">
        <v>127</v>
      </c>
      <c r="C223" t="s">
        <v>21</v>
      </c>
      <c r="D223" t="s">
        <v>33</v>
      </c>
      <c r="E223" t="s">
        <v>34</v>
      </c>
      <c r="F223" t="s">
        <v>44</v>
      </c>
      <c r="G223">
        <v>7</v>
      </c>
      <c r="H223">
        <v>4144.79</v>
      </c>
      <c r="I223">
        <v>13</v>
      </c>
      <c r="J223" t="s">
        <v>39</v>
      </c>
      <c r="K223" t="s">
        <v>29</v>
      </c>
      <c r="L223" t="s">
        <v>19</v>
      </c>
      <c r="M223">
        <f>Table1[[#This Row],[Quantity]]*Table1[[#This Row],[Unit_Price]]</f>
        <v>29013.53</v>
      </c>
      <c r="N223">
        <f>Table1[[#This Row],[Sales amount]]*Table1[[#This Row],[Discount]]/100</f>
        <v>3771.7589000000003</v>
      </c>
      <c r="O223">
        <f>Table1[[#This Row],[Sales amount]]-Table1[[#This Row],[Discount amount]]</f>
        <v>25241.771099999998</v>
      </c>
      <c r="P223" t="str">
        <f>TEXT(Table1[[#This Row],[Order_Date]],"mmm")</f>
        <v>Oct</v>
      </c>
      <c r="Q223">
        <f>YEAR(Table1[[#This Row],[Order_Date]])</f>
        <v>2023</v>
      </c>
    </row>
    <row r="224" spans="1:17" x14ac:dyDescent="0.3">
      <c r="A224">
        <v>1223</v>
      </c>
      <c r="B224" t="s">
        <v>219</v>
      </c>
      <c r="C224" t="s">
        <v>65</v>
      </c>
      <c r="D224" t="s">
        <v>14</v>
      </c>
      <c r="E224" t="s">
        <v>27</v>
      </c>
      <c r="F224" t="s">
        <v>38</v>
      </c>
      <c r="G224">
        <v>8</v>
      </c>
      <c r="H224">
        <v>1111.1500000000001</v>
      </c>
      <c r="I224">
        <v>21</v>
      </c>
      <c r="J224" t="s">
        <v>28</v>
      </c>
      <c r="K224" t="s">
        <v>29</v>
      </c>
      <c r="L224" t="s">
        <v>30</v>
      </c>
      <c r="M224">
        <f>Table1[[#This Row],[Quantity]]*Table1[[#This Row],[Unit_Price]]</f>
        <v>8889.2000000000007</v>
      </c>
      <c r="N224">
        <f>Table1[[#This Row],[Sales amount]]*Table1[[#This Row],[Discount]]/100</f>
        <v>1866.7320000000002</v>
      </c>
      <c r="O224">
        <f>Table1[[#This Row],[Sales amount]]-Table1[[#This Row],[Discount amount]]</f>
        <v>7022.4680000000008</v>
      </c>
      <c r="P224" t="str">
        <f>TEXT(Table1[[#This Row],[Order_Date]],"mmm")</f>
        <v>Dec</v>
      </c>
      <c r="Q224">
        <f>YEAR(Table1[[#This Row],[Order_Date]])</f>
        <v>2023</v>
      </c>
    </row>
    <row r="225" spans="1:17" x14ac:dyDescent="0.3">
      <c r="A225">
        <v>1224</v>
      </c>
      <c r="B225" t="s">
        <v>148</v>
      </c>
      <c r="C225" t="s">
        <v>65</v>
      </c>
      <c r="D225" t="s">
        <v>43</v>
      </c>
      <c r="E225" t="s">
        <v>27</v>
      </c>
      <c r="F225" t="s">
        <v>44</v>
      </c>
      <c r="G225">
        <v>2</v>
      </c>
      <c r="H225">
        <v>2100.9499999999998</v>
      </c>
      <c r="I225">
        <v>8</v>
      </c>
      <c r="J225" t="s">
        <v>17</v>
      </c>
      <c r="K225" t="s">
        <v>40</v>
      </c>
      <c r="L225" t="s">
        <v>30</v>
      </c>
      <c r="M225">
        <f>Table1[[#This Row],[Quantity]]*Table1[[#This Row],[Unit_Price]]</f>
        <v>4201.8999999999996</v>
      </c>
      <c r="N225">
        <f>Table1[[#This Row],[Sales amount]]*Table1[[#This Row],[Discount]]/100</f>
        <v>336.15199999999999</v>
      </c>
      <c r="O225">
        <f>Table1[[#This Row],[Sales amount]]-Table1[[#This Row],[Discount amount]]</f>
        <v>3865.7479999999996</v>
      </c>
      <c r="P225" t="str">
        <f>TEXT(Table1[[#This Row],[Order_Date]],"mmm")</f>
        <v>Jun</v>
      </c>
      <c r="Q225">
        <f>YEAR(Table1[[#This Row],[Order_Date]])</f>
        <v>2023</v>
      </c>
    </row>
    <row r="226" spans="1:17" x14ac:dyDescent="0.3">
      <c r="A226">
        <v>1225</v>
      </c>
      <c r="B226" t="s">
        <v>174</v>
      </c>
      <c r="C226" t="s">
        <v>65</v>
      </c>
      <c r="D226" t="s">
        <v>43</v>
      </c>
      <c r="E226" t="s">
        <v>34</v>
      </c>
      <c r="F226" t="s">
        <v>16</v>
      </c>
      <c r="G226">
        <v>10</v>
      </c>
      <c r="H226">
        <v>952.36</v>
      </c>
      <c r="I226">
        <v>24</v>
      </c>
      <c r="J226" t="s">
        <v>39</v>
      </c>
      <c r="K226" t="s">
        <v>40</v>
      </c>
      <c r="L226" t="s">
        <v>30</v>
      </c>
      <c r="M226">
        <f>Table1[[#This Row],[Quantity]]*Table1[[#This Row],[Unit_Price]]</f>
        <v>9523.6</v>
      </c>
      <c r="N226">
        <f>Table1[[#This Row],[Sales amount]]*Table1[[#This Row],[Discount]]/100</f>
        <v>2285.6640000000002</v>
      </c>
      <c r="O226">
        <f>Table1[[#This Row],[Sales amount]]-Table1[[#This Row],[Discount amount]]</f>
        <v>7237.9359999999997</v>
      </c>
      <c r="P226" t="str">
        <f>TEXT(Table1[[#This Row],[Order_Date]],"mmm")</f>
        <v>Jul</v>
      </c>
      <c r="Q226">
        <f>YEAR(Table1[[#This Row],[Order_Date]])</f>
        <v>2023</v>
      </c>
    </row>
    <row r="227" spans="1:17" x14ac:dyDescent="0.3">
      <c r="A227">
        <v>1226</v>
      </c>
      <c r="B227" t="s">
        <v>220</v>
      </c>
      <c r="C227" t="s">
        <v>46</v>
      </c>
      <c r="D227" t="s">
        <v>47</v>
      </c>
      <c r="E227" t="s">
        <v>34</v>
      </c>
      <c r="F227" t="s">
        <v>23</v>
      </c>
      <c r="G227">
        <v>10</v>
      </c>
      <c r="H227">
        <v>3460.76</v>
      </c>
      <c r="I227">
        <v>16</v>
      </c>
      <c r="J227" t="s">
        <v>24</v>
      </c>
      <c r="K227" t="s">
        <v>18</v>
      </c>
      <c r="L227" t="s">
        <v>48</v>
      </c>
      <c r="M227">
        <f>Table1[[#This Row],[Quantity]]*Table1[[#This Row],[Unit_Price]]</f>
        <v>34607.600000000006</v>
      </c>
      <c r="N227">
        <f>Table1[[#This Row],[Sales amount]]*Table1[[#This Row],[Discount]]/100</f>
        <v>5537.2160000000013</v>
      </c>
      <c r="O227">
        <f>Table1[[#This Row],[Sales amount]]-Table1[[#This Row],[Discount amount]]</f>
        <v>29070.384000000005</v>
      </c>
      <c r="P227" t="str">
        <f>TEXT(Table1[[#This Row],[Order_Date]],"mmm")</f>
        <v>Jun</v>
      </c>
      <c r="Q227">
        <f>YEAR(Table1[[#This Row],[Order_Date]])</f>
        <v>2023</v>
      </c>
    </row>
    <row r="228" spans="1:17" x14ac:dyDescent="0.3">
      <c r="A228">
        <v>1227</v>
      </c>
      <c r="B228" t="s">
        <v>216</v>
      </c>
      <c r="C228" t="s">
        <v>13</v>
      </c>
      <c r="D228" t="s">
        <v>33</v>
      </c>
      <c r="E228" t="s">
        <v>27</v>
      </c>
      <c r="F228" t="s">
        <v>16</v>
      </c>
      <c r="G228">
        <v>3</v>
      </c>
      <c r="H228">
        <v>1425.62</v>
      </c>
      <c r="I228">
        <v>10</v>
      </c>
      <c r="J228" t="s">
        <v>24</v>
      </c>
      <c r="K228" t="s">
        <v>40</v>
      </c>
      <c r="L228" t="s">
        <v>19</v>
      </c>
      <c r="M228">
        <f>Table1[[#This Row],[Quantity]]*Table1[[#This Row],[Unit_Price]]</f>
        <v>4276.8599999999997</v>
      </c>
      <c r="N228">
        <f>Table1[[#This Row],[Sales amount]]*Table1[[#This Row],[Discount]]/100</f>
        <v>427.68599999999998</v>
      </c>
      <c r="O228">
        <f>Table1[[#This Row],[Sales amount]]-Table1[[#This Row],[Discount amount]]</f>
        <v>3849.1739999999995</v>
      </c>
      <c r="P228" t="str">
        <f>TEXT(Table1[[#This Row],[Order_Date]],"mmm")</f>
        <v>Oct</v>
      </c>
      <c r="Q228">
        <f>YEAR(Table1[[#This Row],[Order_Date]])</f>
        <v>2023</v>
      </c>
    </row>
    <row r="229" spans="1:17" x14ac:dyDescent="0.3">
      <c r="A229">
        <v>1228</v>
      </c>
      <c r="B229" t="s">
        <v>221</v>
      </c>
      <c r="C229" t="s">
        <v>46</v>
      </c>
      <c r="D229" t="s">
        <v>43</v>
      </c>
      <c r="E229" t="s">
        <v>34</v>
      </c>
      <c r="F229" t="s">
        <v>23</v>
      </c>
      <c r="G229">
        <v>4</v>
      </c>
      <c r="H229">
        <v>2291.06</v>
      </c>
      <c r="I229">
        <v>22</v>
      </c>
      <c r="J229" t="s">
        <v>28</v>
      </c>
      <c r="K229" t="s">
        <v>29</v>
      </c>
      <c r="L229" t="s">
        <v>30</v>
      </c>
      <c r="M229">
        <f>Table1[[#This Row],[Quantity]]*Table1[[#This Row],[Unit_Price]]</f>
        <v>9164.24</v>
      </c>
      <c r="N229">
        <f>Table1[[#This Row],[Sales amount]]*Table1[[#This Row],[Discount]]/100</f>
        <v>2016.1328000000001</v>
      </c>
      <c r="O229">
        <f>Table1[[#This Row],[Sales amount]]-Table1[[#This Row],[Discount amount]]</f>
        <v>7148.1071999999995</v>
      </c>
      <c r="P229" t="str">
        <f>TEXT(Table1[[#This Row],[Order_Date]],"mmm")</f>
        <v>Jun</v>
      </c>
      <c r="Q229">
        <f>YEAR(Table1[[#This Row],[Order_Date]])</f>
        <v>2023</v>
      </c>
    </row>
    <row r="230" spans="1:17" x14ac:dyDescent="0.3">
      <c r="A230">
        <v>1229</v>
      </c>
      <c r="B230" t="s">
        <v>222</v>
      </c>
      <c r="C230" t="s">
        <v>32</v>
      </c>
      <c r="D230" t="s">
        <v>14</v>
      </c>
      <c r="E230" t="s">
        <v>15</v>
      </c>
      <c r="F230" t="s">
        <v>38</v>
      </c>
      <c r="G230">
        <v>8</v>
      </c>
      <c r="H230">
        <v>4390.3</v>
      </c>
      <c r="I230">
        <v>12</v>
      </c>
      <c r="J230" t="s">
        <v>24</v>
      </c>
      <c r="K230" t="s">
        <v>40</v>
      </c>
      <c r="L230" t="s">
        <v>19</v>
      </c>
      <c r="M230">
        <f>Table1[[#This Row],[Quantity]]*Table1[[#This Row],[Unit_Price]]</f>
        <v>35122.400000000001</v>
      </c>
      <c r="N230">
        <f>Table1[[#This Row],[Sales amount]]*Table1[[#This Row],[Discount]]/100</f>
        <v>4214.6880000000001</v>
      </c>
      <c r="O230">
        <f>Table1[[#This Row],[Sales amount]]-Table1[[#This Row],[Discount amount]]</f>
        <v>30907.712</v>
      </c>
      <c r="P230" t="str">
        <f>TEXT(Table1[[#This Row],[Order_Date]],"mmm")</f>
        <v>Dec</v>
      </c>
      <c r="Q230">
        <f>YEAR(Table1[[#This Row],[Order_Date]])</f>
        <v>2023</v>
      </c>
    </row>
    <row r="231" spans="1:17" x14ac:dyDescent="0.3">
      <c r="A231">
        <v>1230</v>
      </c>
      <c r="B231" t="s">
        <v>223</v>
      </c>
      <c r="C231" t="s">
        <v>65</v>
      </c>
      <c r="D231" t="s">
        <v>47</v>
      </c>
      <c r="E231" t="s">
        <v>27</v>
      </c>
      <c r="F231" t="s">
        <v>62</v>
      </c>
      <c r="G231">
        <v>5</v>
      </c>
      <c r="H231">
        <v>3099.96</v>
      </c>
      <c r="I231">
        <v>0</v>
      </c>
      <c r="J231" t="s">
        <v>28</v>
      </c>
      <c r="K231" t="s">
        <v>29</v>
      </c>
      <c r="L231" t="s">
        <v>48</v>
      </c>
      <c r="M231">
        <f>Table1[[#This Row],[Quantity]]*Table1[[#This Row],[Unit_Price]]</f>
        <v>15499.8</v>
      </c>
      <c r="N231">
        <f>Table1[[#This Row],[Sales amount]]*Table1[[#This Row],[Discount]]/100</f>
        <v>0</v>
      </c>
      <c r="O231">
        <f>Table1[[#This Row],[Sales amount]]-Table1[[#This Row],[Discount amount]]</f>
        <v>15499.8</v>
      </c>
      <c r="P231" t="str">
        <f>TEXT(Table1[[#This Row],[Order_Date]],"mmm")</f>
        <v>Oct</v>
      </c>
      <c r="Q231">
        <f>YEAR(Table1[[#This Row],[Order_Date]])</f>
        <v>2023</v>
      </c>
    </row>
    <row r="232" spans="1:17" x14ac:dyDescent="0.3">
      <c r="A232">
        <v>1231</v>
      </c>
      <c r="B232" t="s">
        <v>224</v>
      </c>
      <c r="C232" t="s">
        <v>65</v>
      </c>
      <c r="D232" t="s">
        <v>43</v>
      </c>
      <c r="E232" t="s">
        <v>15</v>
      </c>
      <c r="F232" t="s">
        <v>23</v>
      </c>
      <c r="G232">
        <v>10</v>
      </c>
      <c r="H232">
        <v>3193.28</v>
      </c>
      <c r="I232">
        <v>16</v>
      </c>
      <c r="J232" t="s">
        <v>17</v>
      </c>
      <c r="K232" t="s">
        <v>29</v>
      </c>
      <c r="L232" t="s">
        <v>48</v>
      </c>
      <c r="M232">
        <f>Table1[[#This Row],[Quantity]]*Table1[[#This Row],[Unit_Price]]</f>
        <v>31932.800000000003</v>
      </c>
      <c r="N232">
        <f>Table1[[#This Row],[Sales amount]]*Table1[[#This Row],[Discount]]/100</f>
        <v>5109.2480000000005</v>
      </c>
      <c r="O232">
        <f>Table1[[#This Row],[Sales amount]]-Table1[[#This Row],[Discount amount]]</f>
        <v>26823.552000000003</v>
      </c>
      <c r="P232" t="str">
        <f>TEXT(Table1[[#This Row],[Order_Date]],"mmm")</f>
        <v>Aug</v>
      </c>
      <c r="Q232">
        <f>YEAR(Table1[[#This Row],[Order_Date]])</f>
        <v>2023</v>
      </c>
    </row>
    <row r="233" spans="1:17" x14ac:dyDescent="0.3">
      <c r="A233">
        <v>1232</v>
      </c>
      <c r="B233" t="s">
        <v>225</v>
      </c>
      <c r="C233" t="s">
        <v>13</v>
      </c>
      <c r="D233" t="s">
        <v>33</v>
      </c>
      <c r="E233" t="s">
        <v>15</v>
      </c>
      <c r="F233" t="s">
        <v>62</v>
      </c>
      <c r="G233">
        <v>7</v>
      </c>
      <c r="H233">
        <v>673.19</v>
      </c>
      <c r="I233">
        <v>8</v>
      </c>
      <c r="J233" t="s">
        <v>24</v>
      </c>
      <c r="K233" t="s">
        <v>29</v>
      </c>
      <c r="L233" t="s">
        <v>48</v>
      </c>
      <c r="M233">
        <f>Table1[[#This Row],[Quantity]]*Table1[[#This Row],[Unit_Price]]</f>
        <v>4712.33</v>
      </c>
      <c r="N233">
        <f>Table1[[#This Row],[Sales amount]]*Table1[[#This Row],[Discount]]/100</f>
        <v>376.9864</v>
      </c>
      <c r="O233">
        <f>Table1[[#This Row],[Sales amount]]-Table1[[#This Row],[Discount amount]]</f>
        <v>4335.3436000000002</v>
      </c>
      <c r="P233" t="str">
        <f>TEXT(Table1[[#This Row],[Order_Date]],"mmm")</f>
        <v>Mar</v>
      </c>
      <c r="Q233">
        <f>YEAR(Table1[[#This Row],[Order_Date]])</f>
        <v>2023</v>
      </c>
    </row>
    <row r="234" spans="1:17" x14ac:dyDescent="0.3">
      <c r="A234">
        <v>1233</v>
      </c>
      <c r="B234" t="s">
        <v>226</v>
      </c>
      <c r="C234" t="s">
        <v>42</v>
      </c>
      <c r="D234" t="s">
        <v>43</v>
      </c>
      <c r="E234" t="s">
        <v>27</v>
      </c>
      <c r="F234" t="s">
        <v>44</v>
      </c>
      <c r="G234">
        <v>4</v>
      </c>
      <c r="H234">
        <v>4891.68</v>
      </c>
      <c r="I234">
        <v>26</v>
      </c>
      <c r="J234" t="s">
        <v>28</v>
      </c>
      <c r="K234" t="s">
        <v>18</v>
      </c>
      <c r="L234" t="s">
        <v>30</v>
      </c>
      <c r="M234">
        <f>Table1[[#This Row],[Quantity]]*Table1[[#This Row],[Unit_Price]]</f>
        <v>19566.72</v>
      </c>
      <c r="N234">
        <f>Table1[[#This Row],[Sales amount]]*Table1[[#This Row],[Discount]]/100</f>
        <v>5087.3472000000002</v>
      </c>
      <c r="O234">
        <f>Table1[[#This Row],[Sales amount]]-Table1[[#This Row],[Discount amount]]</f>
        <v>14479.372800000001</v>
      </c>
      <c r="P234" t="str">
        <f>TEXT(Table1[[#This Row],[Order_Date]],"mmm")</f>
        <v>May</v>
      </c>
      <c r="Q234">
        <f>YEAR(Table1[[#This Row],[Order_Date]])</f>
        <v>2023</v>
      </c>
    </row>
    <row r="235" spans="1:17" x14ac:dyDescent="0.3">
      <c r="A235">
        <v>1234</v>
      </c>
      <c r="B235" t="s">
        <v>144</v>
      </c>
      <c r="C235" t="s">
        <v>54</v>
      </c>
      <c r="D235" t="s">
        <v>43</v>
      </c>
      <c r="E235" t="s">
        <v>15</v>
      </c>
      <c r="F235" t="s">
        <v>35</v>
      </c>
      <c r="G235">
        <v>10</v>
      </c>
      <c r="H235">
        <v>1597</v>
      </c>
      <c r="I235">
        <v>16</v>
      </c>
      <c r="J235" t="s">
        <v>17</v>
      </c>
      <c r="K235" t="s">
        <v>40</v>
      </c>
      <c r="L235" t="s">
        <v>48</v>
      </c>
      <c r="M235">
        <f>Table1[[#This Row],[Quantity]]*Table1[[#This Row],[Unit_Price]]</f>
        <v>15970</v>
      </c>
      <c r="N235">
        <f>Table1[[#This Row],[Sales amount]]*Table1[[#This Row],[Discount]]/100</f>
        <v>2555.1999999999998</v>
      </c>
      <c r="O235">
        <f>Table1[[#This Row],[Sales amount]]-Table1[[#This Row],[Discount amount]]</f>
        <v>13414.8</v>
      </c>
      <c r="P235" t="str">
        <f>TEXT(Table1[[#This Row],[Order_Date]],"mmm")</f>
        <v>Mar</v>
      </c>
      <c r="Q235">
        <f>YEAR(Table1[[#This Row],[Order_Date]])</f>
        <v>2023</v>
      </c>
    </row>
    <row r="236" spans="1:17" x14ac:dyDescent="0.3">
      <c r="A236">
        <v>1235</v>
      </c>
      <c r="B236" t="s">
        <v>104</v>
      </c>
      <c r="C236" t="s">
        <v>54</v>
      </c>
      <c r="D236" t="s">
        <v>33</v>
      </c>
      <c r="E236" t="s">
        <v>27</v>
      </c>
      <c r="F236" t="s">
        <v>23</v>
      </c>
      <c r="G236">
        <v>4</v>
      </c>
      <c r="H236">
        <v>4641.18</v>
      </c>
      <c r="I236">
        <v>15</v>
      </c>
      <c r="J236" t="s">
        <v>28</v>
      </c>
      <c r="K236" t="s">
        <v>29</v>
      </c>
      <c r="L236" t="s">
        <v>48</v>
      </c>
      <c r="M236">
        <f>Table1[[#This Row],[Quantity]]*Table1[[#This Row],[Unit_Price]]</f>
        <v>18564.72</v>
      </c>
      <c r="N236">
        <f>Table1[[#This Row],[Sales amount]]*Table1[[#This Row],[Discount]]/100</f>
        <v>2784.7080000000005</v>
      </c>
      <c r="O236">
        <f>Table1[[#This Row],[Sales amount]]-Table1[[#This Row],[Discount amount]]</f>
        <v>15780.012000000001</v>
      </c>
      <c r="P236" t="str">
        <f>TEXT(Table1[[#This Row],[Order_Date]],"mmm")</f>
        <v>Oct</v>
      </c>
      <c r="Q236">
        <f>YEAR(Table1[[#This Row],[Order_Date]])</f>
        <v>2023</v>
      </c>
    </row>
    <row r="237" spans="1:17" x14ac:dyDescent="0.3">
      <c r="A237">
        <v>1236</v>
      </c>
      <c r="B237" t="s">
        <v>67</v>
      </c>
      <c r="C237" t="s">
        <v>54</v>
      </c>
      <c r="D237" t="s">
        <v>33</v>
      </c>
      <c r="E237" t="s">
        <v>15</v>
      </c>
      <c r="F237" t="s">
        <v>38</v>
      </c>
      <c r="G237">
        <v>8</v>
      </c>
      <c r="H237">
        <v>3343.06</v>
      </c>
      <c r="I237">
        <v>28</v>
      </c>
      <c r="J237" t="s">
        <v>28</v>
      </c>
      <c r="K237" t="s">
        <v>18</v>
      </c>
      <c r="L237" t="s">
        <v>30</v>
      </c>
      <c r="M237">
        <f>Table1[[#This Row],[Quantity]]*Table1[[#This Row],[Unit_Price]]</f>
        <v>26744.48</v>
      </c>
      <c r="N237">
        <f>Table1[[#This Row],[Sales amount]]*Table1[[#This Row],[Discount]]/100</f>
        <v>7488.4543999999996</v>
      </c>
      <c r="O237">
        <f>Table1[[#This Row],[Sales amount]]-Table1[[#This Row],[Discount amount]]</f>
        <v>19256.025600000001</v>
      </c>
      <c r="P237" t="str">
        <f>TEXT(Table1[[#This Row],[Order_Date]],"mmm")</f>
        <v>Dec</v>
      </c>
      <c r="Q237">
        <f>YEAR(Table1[[#This Row],[Order_Date]])</f>
        <v>2023</v>
      </c>
    </row>
    <row r="238" spans="1:17" x14ac:dyDescent="0.3">
      <c r="A238">
        <v>1237</v>
      </c>
      <c r="B238" t="s">
        <v>227</v>
      </c>
      <c r="C238" t="s">
        <v>32</v>
      </c>
      <c r="D238" t="s">
        <v>14</v>
      </c>
      <c r="E238" t="s">
        <v>34</v>
      </c>
      <c r="F238" t="s">
        <v>44</v>
      </c>
      <c r="G238">
        <v>2</v>
      </c>
      <c r="H238">
        <v>898.3</v>
      </c>
      <c r="I238">
        <v>13</v>
      </c>
      <c r="J238" t="s">
        <v>17</v>
      </c>
      <c r="K238" t="s">
        <v>18</v>
      </c>
      <c r="L238" t="s">
        <v>30</v>
      </c>
      <c r="M238">
        <f>Table1[[#This Row],[Quantity]]*Table1[[#This Row],[Unit_Price]]</f>
        <v>1796.6</v>
      </c>
      <c r="N238">
        <f>Table1[[#This Row],[Sales amount]]*Table1[[#This Row],[Discount]]/100</f>
        <v>233.55799999999999</v>
      </c>
      <c r="O238">
        <f>Table1[[#This Row],[Sales amount]]-Table1[[#This Row],[Discount amount]]</f>
        <v>1563.0419999999999</v>
      </c>
      <c r="P238" t="str">
        <f>TEXT(Table1[[#This Row],[Order_Date]],"mmm")</f>
        <v>Apr</v>
      </c>
      <c r="Q238">
        <f>YEAR(Table1[[#This Row],[Order_Date]])</f>
        <v>2023</v>
      </c>
    </row>
    <row r="239" spans="1:17" x14ac:dyDescent="0.3">
      <c r="A239">
        <v>1238</v>
      </c>
      <c r="B239" t="s">
        <v>124</v>
      </c>
      <c r="C239" t="s">
        <v>54</v>
      </c>
      <c r="D239" t="s">
        <v>14</v>
      </c>
      <c r="E239" t="s">
        <v>34</v>
      </c>
      <c r="F239" t="s">
        <v>62</v>
      </c>
      <c r="G239">
        <v>1</v>
      </c>
      <c r="H239">
        <v>3665.33</v>
      </c>
      <c r="I239">
        <v>27</v>
      </c>
      <c r="J239" t="s">
        <v>28</v>
      </c>
      <c r="K239" t="s">
        <v>29</v>
      </c>
      <c r="L239" t="s">
        <v>48</v>
      </c>
      <c r="M239">
        <f>Table1[[#This Row],[Quantity]]*Table1[[#This Row],[Unit_Price]]</f>
        <v>3665.33</v>
      </c>
      <c r="N239">
        <f>Table1[[#This Row],[Sales amount]]*Table1[[#This Row],[Discount]]/100</f>
        <v>989.63909999999998</v>
      </c>
      <c r="O239">
        <f>Table1[[#This Row],[Sales amount]]-Table1[[#This Row],[Discount amount]]</f>
        <v>2675.6909000000001</v>
      </c>
      <c r="P239" t="str">
        <f>TEXT(Table1[[#This Row],[Order_Date]],"mmm")</f>
        <v>Jan</v>
      </c>
      <c r="Q239">
        <f>YEAR(Table1[[#This Row],[Order_Date]])</f>
        <v>2023</v>
      </c>
    </row>
    <row r="240" spans="1:17" x14ac:dyDescent="0.3">
      <c r="A240">
        <v>1239</v>
      </c>
      <c r="B240" t="s">
        <v>88</v>
      </c>
      <c r="C240" t="s">
        <v>13</v>
      </c>
      <c r="D240" t="s">
        <v>14</v>
      </c>
      <c r="E240" t="s">
        <v>27</v>
      </c>
      <c r="F240" t="s">
        <v>16</v>
      </c>
      <c r="G240">
        <v>3</v>
      </c>
      <c r="H240">
        <v>4700.3100000000004</v>
      </c>
      <c r="I240">
        <v>17</v>
      </c>
      <c r="J240" t="s">
        <v>39</v>
      </c>
      <c r="K240" t="s">
        <v>40</v>
      </c>
      <c r="L240" t="s">
        <v>48</v>
      </c>
      <c r="M240">
        <f>Table1[[#This Row],[Quantity]]*Table1[[#This Row],[Unit_Price]]</f>
        <v>14100.93</v>
      </c>
      <c r="N240">
        <f>Table1[[#This Row],[Sales amount]]*Table1[[#This Row],[Discount]]/100</f>
        <v>2397.1581000000001</v>
      </c>
      <c r="O240">
        <f>Table1[[#This Row],[Sales amount]]-Table1[[#This Row],[Discount amount]]</f>
        <v>11703.7719</v>
      </c>
      <c r="P240" t="str">
        <f>TEXT(Table1[[#This Row],[Order_Date]],"mmm")</f>
        <v>May</v>
      </c>
      <c r="Q240">
        <f>YEAR(Table1[[#This Row],[Order_Date]])</f>
        <v>2023</v>
      </c>
    </row>
    <row r="241" spans="1:17" x14ac:dyDescent="0.3">
      <c r="A241">
        <v>1240</v>
      </c>
      <c r="B241" t="s">
        <v>83</v>
      </c>
      <c r="C241" t="s">
        <v>65</v>
      </c>
      <c r="D241" t="s">
        <v>47</v>
      </c>
      <c r="E241" t="s">
        <v>34</v>
      </c>
      <c r="F241" t="s">
        <v>35</v>
      </c>
      <c r="G241">
        <v>7</v>
      </c>
      <c r="H241">
        <v>4185.24</v>
      </c>
      <c r="I241">
        <v>16</v>
      </c>
      <c r="J241" t="s">
        <v>28</v>
      </c>
      <c r="K241" t="s">
        <v>29</v>
      </c>
      <c r="L241" t="s">
        <v>19</v>
      </c>
      <c r="M241">
        <f>Table1[[#This Row],[Quantity]]*Table1[[#This Row],[Unit_Price]]</f>
        <v>29296.68</v>
      </c>
      <c r="N241">
        <f>Table1[[#This Row],[Sales amount]]*Table1[[#This Row],[Discount]]/100</f>
        <v>4687.4687999999996</v>
      </c>
      <c r="O241">
        <f>Table1[[#This Row],[Sales amount]]-Table1[[#This Row],[Discount amount]]</f>
        <v>24609.211200000002</v>
      </c>
      <c r="P241" t="str">
        <f>TEXT(Table1[[#This Row],[Order_Date]],"mmm")</f>
        <v>Jun</v>
      </c>
      <c r="Q241">
        <f>YEAR(Table1[[#This Row],[Order_Date]])</f>
        <v>2023</v>
      </c>
    </row>
    <row r="242" spans="1:17" x14ac:dyDescent="0.3">
      <c r="A242">
        <v>1241</v>
      </c>
      <c r="B242" t="s">
        <v>212</v>
      </c>
      <c r="C242" t="s">
        <v>32</v>
      </c>
      <c r="D242" t="s">
        <v>33</v>
      </c>
      <c r="E242" t="s">
        <v>34</v>
      </c>
      <c r="F242" t="s">
        <v>44</v>
      </c>
      <c r="G242">
        <v>9</v>
      </c>
      <c r="H242">
        <v>1860.4</v>
      </c>
      <c r="I242">
        <v>20</v>
      </c>
      <c r="J242" t="s">
        <v>17</v>
      </c>
      <c r="K242" t="s">
        <v>29</v>
      </c>
      <c r="L242" t="s">
        <v>30</v>
      </c>
      <c r="M242">
        <f>Table1[[#This Row],[Quantity]]*Table1[[#This Row],[Unit_Price]]</f>
        <v>16743.600000000002</v>
      </c>
      <c r="N242">
        <f>Table1[[#This Row],[Sales amount]]*Table1[[#This Row],[Discount]]/100</f>
        <v>3348.7200000000007</v>
      </c>
      <c r="O242">
        <f>Table1[[#This Row],[Sales amount]]-Table1[[#This Row],[Discount amount]]</f>
        <v>13394.880000000001</v>
      </c>
      <c r="P242" t="str">
        <f>TEXT(Table1[[#This Row],[Order_Date]],"mmm")</f>
        <v>Jun</v>
      </c>
      <c r="Q242">
        <f>YEAR(Table1[[#This Row],[Order_Date]])</f>
        <v>2023</v>
      </c>
    </row>
    <row r="243" spans="1:17" x14ac:dyDescent="0.3">
      <c r="A243">
        <v>1242</v>
      </c>
      <c r="B243" t="s">
        <v>228</v>
      </c>
      <c r="C243" t="s">
        <v>54</v>
      </c>
      <c r="D243" t="s">
        <v>47</v>
      </c>
      <c r="E243" t="s">
        <v>34</v>
      </c>
      <c r="F243" t="s">
        <v>16</v>
      </c>
      <c r="G243">
        <v>4</v>
      </c>
      <c r="H243">
        <v>3453.16</v>
      </c>
      <c r="I243">
        <v>27</v>
      </c>
      <c r="J243" t="s">
        <v>24</v>
      </c>
      <c r="K243" t="s">
        <v>40</v>
      </c>
      <c r="L243" t="s">
        <v>30</v>
      </c>
      <c r="M243">
        <f>Table1[[#This Row],[Quantity]]*Table1[[#This Row],[Unit_Price]]</f>
        <v>13812.64</v>
      </c>
      <c r="N243">
        <f>Table1[[#This Row],[Sales amount]]*Table1[[#This Row],[Discount]]/100</f>
        <v>3729.4127999999996</v>
      </c>
      <c r="O243">
        <f>Table1[[#This Row],[Sales amount]]-Table1[[#This Row],[Discount amount]]</f>
        <v>10083.227199999999</v>
      </c>
      <c r="P243" t="str">
        <f>TEXT(Table1[[#This Row],[Order_Date]],"mmm")</f>
        <v>Apr</v>
      </c>
      <c r="Q243">
        <f>YEAR(Table1[[#This Row],[Order_Date]])</f>
        <v>2023</v>
      </c>
    </row>
    <row r="244" spans="1:17" x14ac:dyDescent="0.3">
      <c r="A244">
        <v>1243</v>
      </c>
      <c r="B244" t="s">
        <v>206</v>
      </c>
      <c r="C244" t="s">
        <v>42</v>
      </c>
      <c r="D244" t="s">
        <v>43</v>
      </c>
      <c r="E244" t="s">
        <v>15</v>
      </c>
      <c r="F244" t="s">
        <v>23</v>
      </c>
      <c r="G244">
        <v>10</v>
      </c>
      <c r="H244">
        <v>4029.76</v>
      </c>
      <c r="I244">
        <v>28</v>
      </c>
      <c r="J244" t="s">
        <v>17</v>
      </c>
      <c r="K244" t="s">
        <v>18</v>
      </c>
      <c r="L244" t="s">
        <v>48</v>
      </c>
      <c r="M244">
        <f>Table1[[#This Row],[Quantity]]*Table1[[#This Row],[Unit_Price]]</f>
        <v>40297.600000000006</v>
      </c>
      <c r="N244">
        <f>Table1[[#This Row],[Sales amount]]*Table1[[#This Row],[Discount]]/100</f>
        <v>11283.328000000003</v>
      </c>
      <c r="O244">
        <f>Table1[[#This Row],[Sales amount]]-Table1[[#This Row],[Discount amount]]</f>
        <v>29014.272000000004</v>
      </c>
      <c r="P244" t="str">
        <f>TEXT(Table1[[#This Row],[Order_Date]],"mmm")</f>
        <v>Sep</v>
      </c>
      <c r="Q244">
        <f>YEAR(Table1[[#This Row],[Order_Date]])</f>
        <v>2023</v>
      </c>
    </row>
    <row r="245" spans="1:17" x14ac:dyDescent="0.3">
      <c r="A245">
        <v>1244</v>
      </c>
      <c r="B245" t="s">
        <v>196</v>
      </c>
      <c r="C245" t="s">
        <v>32</v>
      </c>
      <c r="D245" t="s">
        <v>22</v>
      </c>
      <c r="E245" t="s">
        <v>27</v>
      </c>
      <c r="F245" t="s">
        <v>16</v>
      </c>
      <c r="G245">
        <v>5</v>
      </c>
      <c r="H245">
        <v>910.65</v>
      </c>
      <c r="I245">
        <v>16</v>
      </c>
      <c r="J245" t="s">
        <v>17</v>
      </c>
      <c r="K245" t="s">
        <v>40</v>
      </c>
      <c r="L245" t="s">
        <v>30</v>
      </c>
      <c r="M245">
        <f>Table1[[#This Row],[Quantity]]*Table1[[#This Row],[Unit_Price]]</f>
        <v>4553.25</v>
      </c>
      <c r="N245">
        <f>Table1[[#This Row],[Sales amount]]*Table1[[#This Row],[Discount]]/100</f>
        <v>728.52</v>
      </c>
      <c r="O245">
        <f>Table1[[#This Row],[Sales amount]]-Table1[[#This Row],[Discount amount]]</f>
        <v>3824.73</v>
      </c>
      <c r="P245" t="str">
        <f>TEXT(Table1[[#This Row],[Order_Date]],"mmm")</f>
        <v>Jun</v>
      </c>
      <c r="Q245">
        <f>YEAR(Table1[[#This Row],[Order_Date]])</f>
        <v>2023</v>
      </c>
    </row>
    <row r="246" spans="1:17" x14ac:dyDescent="0.3">
      <c r="A246">
        <v>1245</v>
      </c>
      <c r="B246" t="s">
        <v>151</v>
      </c>
      <c r="C246" t="s">
        <v>65</v>
      </c>
      <c r="D246" t="s">
        <v>14</v>
      </c>
      <c r="E246" t="s">
        <v>27</v>
      </c>
      <c r="F246" t="s">
        <v>16</v>
      </c>
      <c r="G246">
        <v>3</v>
      </c>
      <c r="H246">
        <v>4987.2</v>
      </c>
      <c r="I246">
        <v>6</v>
      </c>
      <c r="J246" t="s">
        <v>24</v>
      </c>
      <c r="K246" t="s">
        <v>40</v>
      </c>
      <c r="L246" t="s">
        <v>30</v>
      </c>
      <c r="M246">
        <f>Table1[[#This Row],[Quantity]]*Table1[[#This Row],[Unit_Price]]</f>
        <v>14961.599999999999</v>
      </c>
      <c r="N246">
        <f>Table1[[#This Row],[Sales amount]]*Table1[[#This Row],[Discount]]/100</f>
        <v>897.69599999999991</v>
      </c>
      <c r="O246">
        <f>Table1[[#This Row],[Sales amount]]-Table1[[#This Row],[Discount amount]]</f>
        <v>14063.903999999999</v>
      </c>
      <c r="P246" t="str">
        <f>TEXT(Table1[[#This Row],[Order_Date]],"mmm")</f>
        <v>Feb</v>
      </c>
      <c r="Q246">
        <f>YEAR(Table1[[#This Row],[Order_Date]])</f>
        <v>2023</v>
      </c>
    </row>
    <row r="247" spans="1:17" x14ac:dyDescent="0.3">
      <c r="A247">
        <v>1246</v>
      </c>
      <c r="B247" t="s">
        <v>104</v>
      </c>
      <c r="C247" t="s">
        <v>46</v>
      </c>
      <c r="D247" t="s">
        <v>14</v>
      </c>
      <c r="E247" t="s">
        <v>34</v>
      </c>
      <c r="F247" t="s">
        <v>44</v>
      </c>
      <c r="G247">
        <v>5</v>
      </c>
      <c r="H247">
        <v>3250.95</v>
      </c>
      <c r="I247">
        <v>29</v>
      </c>
      <c r="J247" t="s">
        <v>39</v>
      </c>
      <c r="K247" t="s">
        <v>18</v>
      </c>
      <c r="L247" t="s">
        <v>19</v>
      </c>
      <c r="M247">
        <f>Table1[[#This Row],[Quantity]]*Table1[[#This Row],[Unit_Price]]</f>
        <v>16254.75</v>
      </c>
      <c r="N247">
        <f>Table1[[#This Row],[Sales amount]]*Table1[[#This Row],[Discount]]/100</f>
        <v>4713.8774999999996</v>
      </c>
      <c r="O247">
        <f>Table1[[#This Row],[Sales amount]]-Table1[[#This Row],[Discount amount]]</f>
        <v>11540.872500000001</v>
      </c>
      <c r="P247" t="str">
        <f>TEXT(Table1[[#This Row],[Order_Date]],"mmm")</f>
        <v>Oct</v>
      </c>
      <c r="Q247">
        <f>YEAR(Table1[[#This Row],[Order_Date]])</f>
        <v>2023</v>
      </c>
    </row>
    <row r="248" spans="1:17" x14ac:dyDescent="0.3">
      <c r="A248">
        <v>1247</v>
      </c>
      <c r="B248" t="s">
        <v>97</v>
      </c>
      <c r="C248" t="s">
        <v>13</v>
      </c>
      <c r="D248" t="s">
        <v>47</v>
      </c>
      <c r="E248" t="s">
        <v>27</v>
      </c>
      <c r="F248" t="s">
        <v>38</v>
      </c>
      <c r="G248">
        <v>10</v>
      </c>
      <c r="H248">
        <v>3197.09</v>
      </c>
      <c r="I248">
        <v>0</v>
      </c>
      <c r="J248" t="s">
        <v>24</v>
      </c>
      <c r="K248" t="s">
        <v>29</v>
      </c>
      <c r="L248" t="s">
        <v>30</v>
      </c>
      <c r="M248">
        <f>Table1[[#This Row],[Quantity]]*Table1[[#This Row],[Unit_Price]]</f>
        <v>31970.9</v>
      </c>
      <c r="N248">
        <f>Table1[[#This Row],[Sales amount]]*Table1[[#This Row],[Discount]]/100</f>
        <v>0</v>
      </c>
      <c r="O248">
        <f>Table1[[#This Row],[Sales amount]]-Table1[[#This Row],[Discount amount]]</f>
        <v>31970.9</v>
      </c>
      <c r="P248" t="str">
        <f>TEXT(Table1[[#This Row],[Order_Date]],"mmm")</f>
        <v>Mar</v>
      </c>
      <c r="Q248">
        <f>YEAR(Table1[[#This Row],[Order_Date]])</f>
        <v>2023</v>
      </c>
    </row>
    <row r="249" spans="1:17" x14ac:dyDescent="0.3">
      <c r="A249">
        <v>1248</v>
      </c>
      <c r="B249" t="s">
        <v>222</v>
      </c>
      <c r="C249" t="s">
        <v>32</v>
      </c>
      <c r="D249" t="s">
        <v>14</v>
      </c>
      <c r="E249" t="s">
        <v>27</v>
      </c>
      <c r="F249" t="s">
        <v>38</v>
      </c>
      <c r="G249">
        <v>10</v>
      </c>
      <c r="H249">
        <v>266.39999999999998</v>
      </c>
      <c r="I249">
        <v>26</v>
      </c>
      <c r="J249" t="s">
        <v>39</v>
      </c>
      <c r="K249" t="s">
        <v>18</v>
      </c>
      <c r="L249" t="s">
        <v>19</v>
      </c>
      <c r="M249">
        <f>Table1[[#This Row],[Quantity]]*Table1[[#This Row],[Unit_Price]]</f>
        <v>2664</v>
      </c>
      <c r="N249">
        <f>Table1[[#This Row],[Sales amount]]*Table1[[#This Row],[Discount]]/100</f>
        <v>692.64</v>
      </c>
      <c r="O249">
        <f>Table1[[#This Row],[Sales amount]]-Table1[[#This Row],[Discount amount]]</f>
        <v>1971.3600000000001</v>
      </c>
      <c r="P249" t="str">
        <f>TEXT(Table1[[#This Row],[Order_Date]],"mmm")</f>
        <v>Dec</v>
      </c>
      <c r="Q249">
        <f>YEAR(Table1[[#This Row],[Order_Date]])</f>
        <v>2023</v>
      </c>
    </row>
    <row r="250" spans="1:17" x14ac:dyDescent="0.3">
      <c r="A250">
        <v>1249</v>
      </c>
      <c r="B250" t="s">
        <v>127</v>
      </c>
      <c r="C250" t="s">
        <v>13</v>
      </c>
      <c r="D250" t="s">
        <v>47</v>
      </c>
      <c r="E250" t="s">
        <v>34</v>
      </c>
      <c r="F250" t="s">
        <v>44</v>
      </c>
      <c r="G250">
        <v>4</v>
      </c>
      <c r="H250">
        <v>3976.92</v>
      </c>
      <c r="I250">
        <v>7</v>
      </c>
      <c r="J250" t="s">
        <v>17</v>
      </c>
      <c r="K250" t="s">
        <v>18</v>
      </c>
      <c r="L250" t="s">
        <v>30</v>
      </c>
      <c r="M250">
        <f>Table1[[#This Row],[Quantity]]*Table1[[#This Row],[Unit_Price]]</f>
        <v>15907.68</v>
      </c>
      <c r="N250">
        <f>Table1[[#This Row],[Sales amount]]*Table1[[#This Row],[Discount]]/100</f>
        <v>1113.5376000000001</v>
      </c>
      <c r="O250">
        <f>Table1[[#This Row],[Sales amount]]-Table1[[#This Row],[Discount amount]]</f>
        <v>14794.142400000001</v>
      </c>
      <c r="P250" t="str">
        <f>TEXT(Table1[[#This Row],[Order_Date]],"mmm")</f>
        <v>Oct</v>
      </c>
      <c r="Q250">
        <f>YEAR(Table1[[#This Row],[Order_Date]])</f>
        <v>2023</v>
      </c>
    </row>
    <row r="251" spans="1:17" x14ac:dyDescent="0.3">
      <c r="A251">
        <v>1250</v>
      </c>
      <c r="B251" t="s">
        <v>229</v>
      </c>
      <c r="C251" t="s">
        <v>52</v>
      </c>
      <c r="D251" t="s">
        <v>33</v>
      </c>
      <c r="E251" t="s">
        <v>15</v>
      </c>
      <c r="F251" t="s">
        <v>62</v>
      </c>
      <c r="G251">
        <v>8</v>
      </c>
      <c r="H251">
        <v>249.05</v>
      </c>
      <c r="I251">
        <v>17</v>
      </c>
      <c r="J251" t="s">
        <v>17</v>
      </c>
      <c r="K251" t="s">
        <v>29</v>
      </c>
      <c r="L251" t="s">
        <v>30</v>
      </c>
      <c r="M251">
        <f>Table1[[#This Row],[Quantity]]*Table1[[#This Row],[Unit_Price]]</f>
        <v>1992.4</v>
      </c>
      <c r="N251">
        <f>Table1[[#This Row],[Sales amount]]*Table1[[#This Row],[Discount]]/100</f>
        <v>338.70800000000003</v>
      </c>
      <c r="O251">
        <f>Table1[[#This Row],[Sales amount]]-Table1[[#This Row],[Discount amount]]</f>
        <v>1653.692</v>
      </c>
      <c r="P251" t="str">
        <f>TEXT(Table1[[#This Row],[Order_Date]],"mmm")</f>
        <v>Jul</v>
      </c>
      <c r="Q251">
        <f>YEAR(Table1[[#This Row],[Order_Date]])</f>
        <v>2023</v>
      </c>
    </row>
    <row r="252" spans="1:17" x14ac:dyDescent="0.3">
      <c r="A252">
        <v>1251</v>
      </c>
      <c r="B252" t="s">
        <v>216</v>
      </c>
      <c r="C252" t="s">
        <v>42</v>
      </c>
      <c r="D252" t="s">
        <v>14</v>
      </c>
      <c r="E252" t="s">
        <v>27</v>
      </c>
      <c r="F252" t="s">
        <v>16</v>
      </c>
      <c r="G252">
        <v>8</v>
      </c>
      <c r="H252">
        <v>816.29</v>
      </c>
      <c r="I252">
        <v>14</v>
      </c>
      <c r="J252" t="s">
        <v>17</v>
      </c>
      <c r="K252" t="s">
        <v>18</v>
      </c>
      <c r="L252" t="s">
        <v>30</v>
      </c>
      <c r="M252">
        <f>Table1[[#This Row],[Quantity]]*Table1[[#This Row],[Unit_Price]]</f>
        <v>6530.32</v>
      </c>
      <c r="N252">
        <f>Table1[[#This Row],[Sales amount]]*Table1[[#This Row],[Discount]]/100</f>
        <v>914.24479999999994</v>
      </c>
      <c r="O252">
        <f>Table1[[#This Row],[Sales amount]]-Table1[[#This Row],[Discount amount]]</f>
        <v>5616.0751999999993</v>
      </c>
      <c r="P252" t="str">
        <f>TEXT(Table1[[#This Row],[Order_Date]],"mmm")</f>
        <v>Oct</v>
      </c>
      <c r="Q252">
        <f>YEAR(Table1[[#This Row],[Order_Date]])</f>
        <v>2023</v>
      </c>
    </row>
    <row r="253" spans="1:17" x14ac:dyDescent="0.3">
      <c r="A253">
        <v>1252</v>
      </c>
      <c r="B253" t="s">
        <v>79</v>
      </c>
      <c r="C253" t="s">
        <v>32</v>
      </c>
      <c r="D253" t="s">
        <v>14</v>
      </c>
      <c r="E253" t="s">
        <v>34</v>
      </c>
      <c r="F253" t="s">
        <v>44</v>
      </c>
      <c r="G253">
        <v>9</v>
      </c>
      <c r="H253">
        <v>2321.5300000000002</v>
      </c>
      <c r="I253">
        <v>12</v>
      </c>
      <c r="J253" t="s">
        <v>17</v>
      </c>
      <c r="K253" t="s">
        <v>29</v>
      </c>
      <c r="L253" t="s">
        <v>30</v>
      </c>
      <c r="M253">
        <f>Table1[[#This Row],[Quantity]]*Table1[[#This Row],[Unit_Price]]</f>
        <v>20893.77</v>
      </c>
      <c r="N253">
        <f>Table1[[#This Row],[Sales amount]]*Table1[[#This Row],[Discount]]/100</f>
        <v>2507.2523999999999</v>
      </c>
      <c r="O253">
        <f>Table1[[#This Row],[Sales amount]]-Table1[[#This Row],[Discount amount]]</f>
        <v>18386.517599999999</v>
      </c>
      <c r="P253" t="str">
        <f>TEXT(Table1[[#This Row],[Order_Date]],"mmm")</f>
        <v>Nov</v>
      </c>
      <c r="Q253">
        <f>YEAR(Table1[[#This Row],[Order_Date]])</f>
        <v>2023</v>
      </c>
    </row>
    <row r="254" spans="1:17" x14ac:dyDescent="0.3">
      <c r="A254">
        <v>1253</v>
      </c>
      <c r="B254" t="s">
        <v>69</v>
      </c>
      <c r="C254" t="s">
        <v>13</v>
      </c>
      <c r="D254" t="s">
        <v>33</v>
      </c>
      <c r="E254" t="s">
        <v>34</v>
      </c>
      <c r="F254" t="s">
        <v>44</v>
      </c>
      <c r="G254">
        <v>3</v>
      </c>
      <c r="H254">
        <v>1410.71</v>
      </c>
      <c r="I254">
        <v>1</v>
      </c>
      <c r="J254" t="s">
        <v>24</v>
      </c>
      <c r="K254" t="s">
        <v>18</v>
      </c>
      <c r="L254" t="s">
        <v>30</v>
      </c>
      <c r="M254">
        <f>Table1[[#This Row],[Quantity]]*Table1[[#This Row],[Unit_Price]]</f>
        <v>4232.13</v>
      </c>
      <c r="N254">
        <f>Table1[[#This Row],[Sales amount]]*Table1[[#This Row],[Discount]]/100</f>
        <v>42.321300000000001</v>
      </c>
      <c r="O254">
        <f>Table1[[#This Row],[Sales amount]]-Table1[[#This Row],[Discount amount]]</f>
        <v>4189.8087000000005</v>
      </c>
      <c r="P254" t="str">
        <f>TEXT(Table1[[#This Row],[Order_Date]],"mmm")</f>
        <v>Oct</v>
      </c>
      <c r="Q254">
        <f>YEAR(Table1[[#This Row],[Order_Date]])</f>
        <v>2023</v>
      </c>
    </row>
    <row r="255" spans="1:17" x14ac:dyDescent="0.3">
      <c r="A255">
        <v>1254</v>
      </c>
      <c r="B255" t="s">
        <v>89</v>
      </c>
      <c r="C255" t="s">
        <v>32</v>
      </c>
      <c r="D255" t="s">
        <v>22</v>
      </c>
      <c r="E255" t="s">
        <v>34</v>
      </c>
      <c r="F255" t="s">
        <v>44</v>
      </c>
      <c r="G255">
        <v>10</v>
      </c>
      <c r="H255">
        <v>3982.41</v>
      </c>
      <c r="I255">
        <v>16</v>
      </c>
      <c r="J255" t="s">
        <v>24</v>
      </c>
      <c r="K255" t="s">
        <v>18</v>
      </c>
      <c r="L255" t="s">
        <v>48</v>
      </c>
      <c r="M255">
        <f>Table1[[#This Row],[Quantity]]*Table1[[#This Row],[Unit_Price]]</f>
        <v>39824.1</v>
      </c>
      <c r="N255">
        <f>Table1[[#This Row],[Sales amount]]*Table1[[#This Row],[Discount]]/100</f>
        <v>6371.8559999999998</v>
      </c>
      <c r="O255">
        <f>Table1[[#This Row],[Sales amount]]-Table1[[#This Row],[Discount amount]]</f>
        <v>33452.243999999999</v>
      </c>
      <c r="P255" t="str">
        <f>TEXT(Table1[[#This Row],[Order_Date]],"mmm")</f>
        <v>Feb</v>
      </c>
      <c r="Q255">
        <f>YEAR(Table1[[#This Row],[Order_Date]])</f>
        <v>2023</v>
      </c>
    </row>
    <row r="256" spans="1:17" x14ac:dyDescent="0.3">
      <c r="A256">
        <v>1255</v>
      </c>
      <c r="B256" t="s">
        <v>230</v>
      </c>
      <c r="C256" t="s">
        <v>13</v>
      </c>
      <c r="D256" t="s">
        <v>14</v>
      </c>
      <c r="E256" t="s">
        <v>34</v>
      </c>
      <c r="F256" t="s">
        <v>62</v>
      </c>
      <c r="G256">
        <v>8</v>
      </c>
      <c r="H256">
        <v>292.67</v>
      </c>
      <c r="I256">
        <v>30</v>
      </c>
      <c r="J256" t="s">
        <v>39</v>
      </c>
      <c r="K256" t="s">
        <v>18</v>
      </c>
      <c r="L256" t="s">
        <v>48</v>
      </c>
      <c r="M256">
        <f>Table1[[#This Row],[Quantity]]*Table1[[#This Row],[Unit_Price]]</f>
        <v>2341.36</v>
      </c>
      <c r="N256">
        <f>Table1[[#This Row],[Sales amount]]*Table1[[#This Row],[Discount]]/100</f>
        <v>702.40800000000002</v>
      </c>
      <c r="O256">
        <f>Table1[[#This Row],[Sales amount]]-Table1[[#This Row],[Discount amount]]</f>
        <v>1638.9520000000002</v>
      </c>
      <c r="P256" t="str">
        <f>TEXT(Table1[[#This Row],[Order_Date]],"mmm")</f>
        <v>May</v>
      </c>
      <c r="Q256">
        <f>YEAR(Table1[[#This Row],[Order_Date]])</f>
        <v>2023</v>
      </c>
    </row>
    <row r="257" spans="1:17" x14ac:dyDescent="0.3">
      <c r="A257">
        <v>1256</v>
      </c>
      <c r="B257" t="s">
        <v>162</v>
      </c>
      <c r="C257" t="s">
        <v>32</v>
      </c>
      <c r="D257" t="s">
        <v>14</v>
      </c>
      <c r="E257" t="s">
        <v>15</v>
      </c>
      <c r="F257" t="s">
        <v>35</v>
      </c>
      <c r="G257">
        <v>7</v>
      </c>
      <c r="H257">
        <v>2582.8200000000002</v>
      </c>
      <c r="I257">
        <v>0</v>
      </c>
      <c r="J257" t="s">
        <v>39</v>
      </c>
      <c r="K257" t="s">
        <v>40</v>
      </c>
      <c r="L257" t="s">
        <v>19</v>
      </c>
      <c r="M257">
        <f>Table1[[#This Row],[Quantity]]*Table1[[#This Row],[Unit_Price]]</f>
        <v>18079.740000000002</v>
      </c>
      <c r="N257">
        <f>Table1[[#This Row],[Sales amount]]*Table1[[#This Row],[Discount]]/100</f>
        <v>0</v>
      </c>
      <c r="O257">
        <f>Table1[[#This Row],[Sales amount]]-Table1[[#This Row],[Discount amount]]</f>
        <v>18079.740000000002</v>
      </c>
      <c r="P257" t="str">
        <f>TEXT(Table1[[#This Row],[Order_Date]],"mmm")</f>
        <v>Feb</v>
      </c>
      <c r="Q257">
        <f>YEAR(Table1[[#This Row],[Order_Date]])</f>
        <v>2023</v>
      </c>
    </row>
    <row r="258" spans="1:17" x14ac:dyDescent="0.3">
      <c r="A258">
        <v>1257</v>
      </c>
      <c r="B258" t="s">
        <v>67</v>
      </c>
      <c r="C258" t="s">
        <v>21</v>
      </c>
      <c r="D258" t="s">
        <v>22</v>
      </c>
      <c r="E258" t="s">
        <v>15</v>
      </c>
      <c r="F258" t="s">
        <v>44</v>
      </c>
      <c r="G258">
        <v>2</v>
      </c>
      <c r="H258">
        <v>4998.67</v>
      </c>
      <c r="I258">
        <v>18</v>
      </c>
      <c r="J258" t="s">
        <v>28</v>
      </c>
      <c r="K258" t="s">
        <v>40</v>
      </c>
      <c r="L258" t="s">
        <v>30</v>
      </c>
      <c r="M258">
        <f>Table1[[#This Row],[Quantity]]*Table1[[#This Row],[Unit_Price]]</f>
        <v>9997.34</v>
      </c>
      <c r="N258">
        <f>Table1[[#This Row],[Sales amount]]*Table1[[#This Row],[Discount]]/100</f>
        <v>1799.5211999999999</v>
      </c>
      <c r="O258">
        <f>Table1[[#This Row],[Sales amount]]-Table1[[#This Row],[Discount amount]]</f>
        <v>8197.8188000000009</v>
      </c>
      <c r="P258" t="str">
        <f>TEXT(Table1[[#This Row],[Order_Date]],"mmm")</f>
        <v>Dec</v>
      </c>
      <c r="Q258">
        <f>YEAR(Table1[[#This Row],[Order_Date]])</f>
        <v>2023</v>
      </c>
    </row>
    <row r="259" spans="1:17" x14ac:dyDescent="0.3">
      <c r="A259">
        <v>1258</v>
      </c>
      <c r="B259" t="s">
        <v>231</v>
      </c>
      <c r="C259" t="s">
        <v>65</v>
      </c>
      <c r="D259" t="s">
        <v>33</v>
      </c>
      <c r="E259" t="s">
        <v>15</v>
      </c>
      <c r="F259" t="s">
        <v>44</v>
      </c>
      <c r="G259">
        <v>2</v>
      </c>
      <c r="H259">
        <v>2513.84</v>
      </c>
      <c r="I259">
        <v>26</v>
      </c>
      <c r="J259" t="s">
        <v>17</v>
      </c>
      <c r="K259" t="s">
        <v>29</v>
      </c>
      <c r="L259" t="s">
        <v>48</v>
      </c>
      <c r="M259">
        <f>Table1[[#This Row],[Quantity]]*Table1[[#This Row],[Unit_Price]]</f>
        <v>5027.68</v>
      </c>
      <c r="N259">
        <f>Table1[[#This Row],[Sales amount]]*Table1[[#This Row],[Discount]]/100</f>
        <v>1307.1968000000002</v>
      </c>
      <c r="O259">
        <f>Table1[[#This Row],[Sales amount]]-Table1[[#This Row],[Discount amount]]</f>
        <v>3720.4832000000001</v>
      </c>
      <c r="P259" t="str">
        <f>TEXT(Table1[[#This Row],[Order_Date]],"mmm")</f>
        <v>May</v>
      </c>
      <c r="Q259">
        <f>YEAR(Table1[[#This Row],[Order_Date]])</f>
        <v>2023</v>
      </c>
    </row>
    <row r="260" spans="1:17" x14ac:dyDescent="0.3">
      <c r="A260">
        <v>1259</v>
      </c>
      <c r="B260" t="s">
        <v>59</v>
      </c>
      <c r="C260" t="s">
        <v>54</v>
      </c>
      <c r="D260" t="s">
        <v>43</v>
      </c>
      <c r="E260" t="s">
        <v>27</v>
      </c>
      <c r="F260" t="s">
        <v>44</v>
      </c>
      <c r="G260">
        <v>4</v>
      </c>
      <c r="H260">
        <v>3533.18</v>
      </c>
      <c r="I260">
        <v>14</v>
      </c>
      <c r="J260" t="s">
        <v>24</v>
      </c>
      <c r="K260" t="s">
        <v>29</v>
      </c>
      <c r="L260" t="s">
        <v>48</v>
      </c>
      <c r="M260">
        <f>Table1[[#This Row],[Quantity]]*Table1[[#This Row],[Unit_Price]]</f>
        <v>14132.72</v>
      </c>
      <c r="N260">
        <f>Table1[[#This Row],[Sales amount]]*Table1[[#This Row],[Discount]]/100</f>
        <v>1978.5808</v>
      </c>
      <c r="O260">
        <f>Table1[[#This Row],[Sales amount]]-Table1[[#This Row],[Discount amount]]</f>
        <v>12154.1392</v>
      </c>
      <c r="P260" t="str">
        <f>TEXT(Table1[[#This Row],[Order_Date]],"mmm")</f>
        <v>Jul</v>
      </c>
      <c r="Q260">
        <f>YEAR(Table1[[#This Row],[Order_Date]])</f>
        <v>2023</v>
      </c>
    </row>
    <row r="261" spans="1:17" x14ac:dyDescent="0.3">
      <c r="A261">
        <v>1260</v>
      </c>
      <c r="B261" t="s">
        <v>211</v>
      </c>
      <c r="C261" t="s">
        <v>54</v>
      </c>
      <c r="D261" t="s">
        <v>22</v>
      </c>
      <c r="E261" t="s">
        <v>34</v>
      </c>
      <c r="F261" t="s">
        <v>62</v>
      </c>
      <c r="G261">
        <v>2</v>
      </c>
      <c r="H261">
        <v>4878.1000000000004</v>
      </c>
      <c r="I261">
        <v>14</v>
      </c>
      <c r="J261" t="s">
        <v>24</v>
      </c>
      <c r="K261" t="s">
        <v>18</v>
      </c>
      <c r="L261" t="s">
        <v>48</v>
      </c>
      <c r="M261">
        <f>Table1[[#This Row],[Quantity]]*Table1[[#This Row],[Unit_Price]]</f>
        <v>9756.2000000000007</v>
      </c>
      <c r="N261">
        <f>Table1[[#This Row],[Sales amount]]*Table1[[#This Row],[Discount]]/100</f>
        <v>1365.8680000000002</v>
      </c>
      <c r="O261">
        <f>Table1[[#This Row],[Sales amount]]-Table1[[#This Row],[Discount amount]]</f>
        <v>8390.3320000000003</v>
      </c>
      <c r="P261" t="str">
        <f>TEXT(Table1[[#This Row],[Order_Date]],"mmm")</f>
        <v>Oct</v>
      </c>
      <c r="Q261">
        <f>YEAR(Table1[[#This Row],[Order_Date]])</f>
        <v>2023</v>
      </c>
    </row>
    <row r="262" spans="1:17" x14ac:dyDescent="0.3">
      <c r="A262">
        <v>1261</v>
      </c>
      <c r="B262" t="s">
        <v>104</v>
      </c>
      <c r="C262" t="s">
        <v>65</v>
      </c>
      <c r="D262" t="s">
        <v>47</v>
      </c>
      <c r="E262" t="s">
        <v>27</v>
      </c>
      <c r="F262" t="s">
        <v>62</v>
      </c>
      <c r="G262">
        <v>7</v>
      </c>
      <c r="H262">
        <v>4332.5600000000004</v>
      </c>
      <c r="I262">
        <v>9</v>
      </c>
      <c r="J262" t="s">
        <v>39</v>
      </c>
      <c r="K262" t="s">
        <v>40</v>
      </c>
      <c r="L262" t="s">
        <v>19</v>
      </c>
      <c r="M262">
        <f>Table1[[#This Row],[Quantity]]*Table1[[#This Row],[Unit_Price]]</f>
        <v>30327.920000000002</v>
      </c>
      <c r="N262">
        <f>Table1[[#This Row],[Sales amount]]*Table1[[#This Row],[Discount]]/100</f>
        <v>2729.5128000000004</v>
      </c>
      <c r="O262">
        <f>Table1[[#This Row],[Sales amount]]-Table1[[#This Row],[Discount amount]]</f>
        <v>27598.407200000001</v>
      </c>
      <c r="P262" t="str">
        <f>TEXT(Table1[[#This Row],[Order_Date]],"mmm")</f>
        <v>Oct</v>
      </c>
      <c r="Q262">
        <f>YEAR(Table1[[#This Row],[Order_Date]])</f>
        <v>2023</v>
      </c>
    </row>
    <row r="263" spans="1:17" x14ac:dyDescent="0.3">
      <c r="A263">
        <v>1262</v>
      </c>
      <c r="B263" t="s">
        <v>178</v>
      </c>
      <c r="C263" t="s">
        <v>32</v>
      </c>
      <c r="D263" t="s">
        <v>33</v>
      </c>
      <c r="E263" t="s">
        <v>27</v>
      </c>
      <c r="F263" t="s">
        <v>23</v>
      </c>
      <c r="G263">
        <v>4</v>
      </c>
      <c r="H263">
        <v>1164.69</v>
      </c>
      <c r="I263">
        <v>15</v>
      </c>
      <c r="J263" t="s">
        <v>39</v>
      </c>
      <c r="K263" t="s">
        <v>40</v>
      </c>
      <c r="L263" t="s">
        <v>48</v>
      </c>
      <c r="M263">
        <f>Table1[[#This Row],[Quantity]]*Table1[[#This Row],[Unit_Price]]</f>
        <v>4658.76</v>
      </c>
      <c r="N263">
        <f>Table1[[#This Row],[Sales amount]]*Table1[[#This Row],[Discount]]/100</f>
        <v>698.81400000000008</v>
      </c>
      <c r="O263">
        <f>Table1[[#This Row],[Sales amount]]-Table1[[#This Row],[Discount amount]]</f>
        <v>3959.9459999999999</v>
      </c>
      <c r="P263" t="str">
        <f>TEXT(Table1[[#This Row],[Order_Date]],"mmm")</f>
        <v>Aug</v>
      </c>
      <c r="Q263">
        <f>YEAR(Table1[[#This Row],[Order_Date]])</f>
        <v>2023</v>
      </c>
    </row>
    <row r="264" spans="1:17" x14ac:dyDescent="0.3">
      <c r="A264">
        <v>1263</v>
      </c>
      <c r="B264" t="s">
        <v>95</v>
      </c>
      <c r="C264" t="s">
        <v>32</v>
      </c>
      <c r="D264" t="s">
        <v>47</v>
      </c>
      <c r="E264" t="s">
        <v>27</v>
      </c>
      <c r="F264" t="s">
        <v>62</v>
      </c>
      <c r="G264">
        <v>7</v>
      </c>
      <c r="H264">
        <v>2192.06</v>
      </c>
      <c r="I264">
        <v>30</v>
      </c>
      <c r="J264" t="s">
        <v>28</v>
      </c>
      <c r="K264" t="s">
        <v>18</v>
      </c>
      <c r="L264" t="s">
        <v>19</v>
      </c>
      <c r="M264">
        <f>Table1[[#This Row],[Quantity]]*Table1[[#This Row],[Unit_Price]]</f>
        <v>15344.42</v>
      </c>
      <c r="N264">
        <f>Table1[[#This Row],[Sales amount]]*Table1[[#This Row],[Discount]]/100</f>
        <v>4603.326</v>
      </c>
      <c r="O264">
        <f>Table1[[#This Row],[Sales amount]]-Table1[[#This Row],[Discount amount]]</f>
        <v>10741.094000000001</v>
      </c>
      <c r="P264" t="str">
        <f>TEXT(Table1[[#This Row],[Order_Date]],"mmm")</f>
        <v>Apr</v>
      </c>
      <c r="Q264">
        <f>YEAR(Table1[[#This Row],[Order_Date]])</f>
        <v>2023</v>
      </c>
    </row>
    <row r="265" spans="1:17" x14ac:dyDescent="0.3">
      <c r="A265">
        <v>1264</v>
      </c>
      <c r="B265" t="s">
        <v>232</v>
      </c>
      <c r="C265" t="s">
        <v>13</v>
      </c>
      <c r="D265" t="s">
        <v>47</v>
      </c>
      <c r="E265" t="s">
        <v>27</v>
      </c>
      <c r="F265" t="s">
        <v>35</v>
      </c>
      <c r="G265">
        <v>1</v>
      </c>
      <c r="H265">
        <v>4245.17</v>
      </c>
      <c r="I265">
        <v>23</v>
      </c>
      <c r="J265" t="s">
        <v>39</v>
      </c>
      <c r="K265" t="s">
        <v>40</v>
      </c>
      <c r="L265" t="s">
        <v>30</v>
      </c>
      <c r="M265">
        <f>Table1[[#This Row],[Quantity]]*Table1[[#This Row],[Unit_Price]]</f>
        <v>4245.17</v>
      </c>
      <c r="N265">
        <f>Table1[[#This Row],[Sales amount]]*Table1[[#This Row],[Discount]]/100</f>
        <v>976.38909999999998</v>
      </c>
      <c r="O265">
        <f>Table1[[#This Row],[Sales amount]]-Table1[[#This Row],[Discount amount]]</f>
        <v>3268.7809000000002</v>
      </c>
      <c r="P265" t="str">
        <f>TEXT(Table1[[#This Row],[Order_Date]],"mmm")</f>
        <v>Dec</v>
      </c>
      <c r="Q265">
        <f>YEAR(Table1[[#This Row],[Order_Date]])</f>
        <v>2023</v>
      </c>
    </row>
    <row r="266" spans="1:17" x14ac:dyDescent="0.3">
      <c r="A266">
        <v>1265</v>
      </c>
      <c r="B266" t="s">
        <v>233</v>
      </c>
      <c r="C266" t="s">
        <v>13</v>
      </c>
      <c r="D266" t="s">
        <v>43</v>
      </c>
      <c r="E266" t="s">
        <v>15</v>
      </c>
      <c r="F266" t="s">
        <v>16</v>
      </c>
      <c r="G266">
        <v>4</v>
      </c>
      <c r="H266">
        <v>3757.07</v>
      </c>
      <c r="I266">
        <v>24</v>
      </c>
      <c r="J266" t="s">
        <v>17</v>
      </c>
      <c r="K266" t="s">
        <v>29</v>
      </c>
      <c r="L266" t="s">
        <v>19</v>
      </c>
      <c r="M266">
        <f>Table1[[#This Row],[Quantity]]*Table1[[#This Row],[Unit_Price]]</f>
        <v>15028.28</v>
      </c>
      <c r="N266">
        <f>Table1[[#This Row],[Sales amount]]*Table1[[#This Row],[Discount]]/100</f>
        <v>3606.7872000000002</v>
      </c>
      <c r="O266">
        <f>Table1[[#This Row],[Sales amount]]-Table1[[#This Row],[Discount amount]]</f>
        <v>11421.4928</v>
      </c>
      <c r="P266" t="str">
        <f>TEXT(Table1[[#This Row],[Order_Date]],"mmm")</f>
        <v>Oct</v>
      </c>
      <c r="Q266">
        <f>YEAR(Table1[[#This Row],[Order_Date]])</f>
        <v>2023</v>
      </c>
    </row>
    <row r="267" spans="1:17" x14ac:dyDescent="0.3">
      <c r="A267">
        <v>1266</v>
      </c>
      <c r="B267" t="s">
        <v>234</v>
      </c>
      <c r="C267" t="s">
        <v>42</v>
      </c>
      <c r="D267" t="s">
        <v>33</v>
      </c>
      <c r="E267" t="s">
        <v>15</v>
      </c>
      <c r="F267" t="s">
        <v>23</v>
      </c>
      <c r="G267">
        <v>4</v>
      </c>
      <c r="H267">
        <v>554.44000000000005</v>
      </c>
      <c r="I267">
        <v>5</v>
      </c>
      <c r="J267" t="s">
        <v>24</v>
      </c>
      <c r="K267" t="s">
        <v>29</v>
      </c>
      <c r="L267" t="s">
        <v>30</v>
      </c>
      <c r="M267">
        <f>Table1[[#This Row],[Quantity]]*Table1[[#This Row],[Unit_Price]]</f>
        <v>2217.7600000000002</v>
      </c>
      <c r="N267">
        <f>Table1[[#This Row],[Sales amount]]*Table1[[#This Row],[Discount]]/100</f>
        <v>110.88800000000001</v>
      </c>
      <c r="O267">
        <f>Table1[[#This Row],[Sales amount]]-Table1[[#This Row],[Discount amount]]</f>
        <v>2106.8720000000003</v>
      </c>
      <c r="P267" t="str">
        <f>TEXT(Table1[[#This Row],[Order_Date]],"mmm")</f>
        <v>Feb</v>
      </c>
      <c r="Q267">
        <f>YEAR(Table1[[#This Row],[Order_Date]])</f>
        <v>2023</v>
      </c>
    </row>
    <row r="268" spans="1:17" x14ac:dyDescent="0.3">
      <c r="A268">
        <v>1267</v>
      </c>
      <c r="B268" t="s">
        <v>115</v>
      </c>
      <c r="C268" t="s">
        <v>32</v>
      </c>
      <c r="D268" t="s">
        <v>14</v>
      </c>
      <c r="E268" t="s">
        <v>27</v>
      </c>
      <c r="F268" t="s">
        <v>38</v>
      </c>
      <c r="G268">
        <v>6</v>
      </c>
      <c r="H268">
        <v>4505.42</v>
      </c>
      <c r="I268">
        <v>11</v>
      </c>
      <c r="J268" t="s">
        <v>39</v>
      </c>
      <c r="K268" t="s">
        <v>40</v>
      </c>
      <c r="L268" t="s">
        <v>48</v>
      </c>
      <c r="M268">
        <f>Table1[[#This Row],[Quantity]]*Table1[[#This Row],[Unit_Price]]</f>
        <v>27032.52</v>
      </c>
      <c r="N268">
        <f>Table1[[#This Row],[Sales amount]]*Table1[[#This Row],[Discount]]/100</f>
        <v>2973.5772000000002</v>
      </c>
      <c r="O268">
        <f>Table1[[#This Row],[Sales amount]]-Table1[[#This Row],[Discount amount]]</f>
        <v>24058.942800000001</v>
      </c>
      <c r="P268" t="str">
        <f>TEXT(Table1[[#This Row],[Order_Date]],"mmm")</f>
        <v>Jan</v>
      </c>
      <c r="Q268">
        <f>YEAR(Table1[[#This Row],[Order_Date]])</f>
        <v>2023</v>
      </c>
    </row>
    <row r="269" spans="1:17" x14ac:dyDescent="0.3">
      <c r="A269">
        <v>1268</v>
      </c>
      <c r="B269" t="s">
        <v>235</v>
      </c>
      <c r="C269" t="s">
        <v>54</v>
      </c>
      <c r="D269" t="s">
        <v>22</v>
      </c>
      <c r="E269" t="s">
        <v>27</v>
      </c>
      <c r="F269" t="s">
        <v>38</v>
      </c>
      <c r="G269">
        <v>4</v>
      </c>
      <c r="H269">
        <v>544.33000000000004</v>
      </c>
      <c r="I269">
        <v>30</v>
      </c>
      <c r="J269" t="s">
        <v>17</v>
      </c>
      <c r="K269" t="s">
        <v>40</v>
      </c>
      <c r="L269" t="s">
        <v>19</v>
      </c>
      <c r="M269">
        <f>Table1[[#This Row],[Quantity]]*Table1[[#This Row],[Unit_Price]]</f>
        <v>2177.3200000000002</v>
      </c>
      <c r="N269">
        <f>Table1[[#This Row],[Sales amount]]*Table1[[#This Row],[Discount]]/100</f>
        <v>653.19600000000003</v>
      </c>
      <c r="O269">
        <f>Table1[[#This Row],[Sales amount]]-Table1[[#This Row],[Discount amount]]</f>
        <v>1524.1240000000003</v>
      </c>
      <c r="P269" t="str">
        <f>TEXT(Table1[[#This Row],[Order_Date]],"mmm")</f>
        <v>Sep</v>
      </c>
      <c r="Q269">
        <f>YEAR(Table1[[#This Row],[Order_Date]])</f>
        <v>2023</v>
      </c>
    </row>
    <row r="270" spans="1:17" x14ac:dyDescent="0.3">
      <c r="A270">
        <v>1269</v>
      </c>
      <c r="B270" t="s">
        <v>128</v>
      </c>
      <c r="C270" t="s">
        <v>65</v>
      </c>
      <c r="D270" t="s">
        <v>14</v>
      </c>
      <c r="E270" t="s">
        <v>34</v>
      </c>
      <c r="F270" t="s">
        <v>35</v>
      </c>
      <c r="G270">
        <v>2</v>
      </c>
      <c r="H270">
        <v>2561.8200000000002</v>
      </c>
      <c r="I270">
        <v>21</v>
      </c>
      <c r="J270" t="s">
        <v>17</v>
      </c>
      <c r="K270" t="s">
        <v>18</v>
      </c>
      <c r="L270" t="s">
        <v>48</v>
      </c>
      <c r="M270">
        <f>Table1[[#This Row],[Quantity]]*Table1[[#This Row],[Unit_Price]]</f>
        <v>5123.6400000000003</v>
      </c>
      <c r="N270">
        <f>Table1[[#This Row],[Sales amount]]*Table1[[#This Row],[Discount]]/100</f>
        <v>1075.9644000000001</v>
      </c>
      <c r="O270">
        <f>Table1[[#This Row],[Sales amount]]-Table1[[#This Row],[Discount amount]]</f>
        <v>4047.6756000000005</v>
      </c>
      <c r="P270" t="str">
        <f>TEXT(Table1[[#This Row],[Order_Date]],"mmm")</f>
        <v>Jul</v>
      </c>
      <c r="Q270">
        <f>YEAR(Table1[[#This Row],[Order_Date]])</f>
        <v>2023</v>
      </c>
    </row>
    <row r="271" spans="1:17" x14ac:dyDescent="0.3">
      <c r="A271">
        <v>1270</v>
      </c>
      <c r="B271" t="s">
        <v>236</v>
      </c>
      <c r="C271" t="s">
        <v>13</v>
      </c>
      <c r="D271" t="s">
        <v>22</v>
      </c>
      <c r="E271" t="s">
        <v>27</v>
      </c>
      <c r="F271" t="s">
        <v>62</v>
      </c>
      <c r="G271">
        <v>9</v>
      </c>
      <c r="H271">
        <v>2566.11</v>
      </c>
      <c r="I271">
        <v>18</v>
      </c>
      <c r="J271" t="s">
        <v>28</v>
      </c>
      <c r="K271" t="s">
        <v>18</v>
      </c>
      <c r="L271" t="s">
        <v>30</v>
      </c>
      <c r="M271">
        <f>Table1[[#This Row],[Quantity]]*Table1[[#This Row],[Unit_Price]]</f>
        <v>23094.99</v>
      </c>
      <c r="N271">
        <f>Table1[[#This Row],[Sales amount]]*Table1[[#This Row],[Discount]]/100</f>
        <v>4157.0982000000004</v>
      </c>
      <c r="O271">
        <f>Table1[[#This Row],[Sales amount]]-Table1[[#This Row],[Discount amount]]</f>
        <v>18937.891800000001</v>
      </c>
      <c r="P271" t="str">
        <f>TEXT(Table1[[#This Row],[Order_Date]],"mmm")</f>
        <v>Oct</v>
      </c>
      <c r="Q271">
        <f>YEAR(Table1[[#This Row],[Order_Date]])</f>
        <v>2023</v>
      </c>
    </row>
    <row r="272" spans="1:17" x14ac:dyDescent="0.3">
      <c r="A272">
        <v>1271</v>
      </c>
      <c r="B272" t="s">
        <v>237</v>
      </c>
      <c r="C272" t="s">
        <v>13</v>
      </c>
      <c r="D272" t="s">
        <v>47</v>
      </c>
      <c r="E272" t="s">
        <v>27</v>
      </c>
      <c r="F272" t="s">
        <v>38</v>
      </c>
      <c r="G272">
        <v>6</v>
      </c>
      <c r="H272">
        <v>3596.62</v>
      </c>
      <c r="I272">
        <v>29</v>
      </c>
      <c r="J272" t="s">
        <v>39</v>
      </c>
      <c r="K272" t="s">
        <v>18</v>
      </c>
      <c r="L272" t="s">
        <v>30</v>
      </c>
      <c r="M272">
        <f>Table1[[#This Row],[Quantity]]*Table1[[#This Row],[Unit_Price]]</f>
        <v>21579.72</v>
      </c>
      <c r="N272">
        <f>Table1[[#This Row],[Sales amount]]*Table1[[#This Row],[Discount]]/100</f>
        <v>6258.1188000000002</v>
      </c>
      <c r="O272">
        <f>Table1[[#This Row],[Sales amount]]-Table1[[#This Row],[Discount amount]]</f>
        <v>15321.601200000001</v>
      </c>
      <c r="P272" t="str">
        <f>TEXT(Table1[[#This Row],[Order_Date]],"mmm")</f>
        <v>Jul</v>
      </c>
      <c r="Q272">
        <f>YEAR(Table1[[#This Row],[Order_Date]])</f>
        <v>2023</v>
      </c>
    </row>
    <row r="273" spans="1:17" x14ac:dyDescent="0.3">
      <c r="A273">
        <v>1272</v>
      </c>
      <c r="B273" t="s">
        <v>238</v>
      </c>
      <c r="C273" t="s">
        <v>54</v>
      </c>
      <c r="D273" t="s">
        <v>14</v>
      </c>
      <c r="E273" t="s">
        <v>34</v>
      </c>
      <c r="F273" t="s">
        <v>16</v>
      </c>
      <c r="G273">
        <v>2</v>
      </c>
      <c r="H273">
        <v>568.78</v>
      </c>
      <c r="I273">
        <v>30</v>
      </c>
      <c r="J273" t="s">
        <v>17</v>
      </c>
      <c r="K273" t="s">
        <v>18</v>
      </c>
      <c r="L273" t="s">
        <v>30</v>
      </c>
      <c r="M273">
        <f>Table1[[#This Row],[Quantity]]*Table1[[#This Row],[Unit_Price]]</f>
        <v>1137.56</v>
      </c>
      <c r="N273">
        <f>Table1[[#This Row],[Sales amount]]*Table1[[#This Row],[Discount]]/100</f>
        <v>341.26799999999997</v>
      </c>
      <c r="O273">
        <f>Table1[[#This Row],[Sales amount]]-Table1[[#This Row],[Discount amount]]</f>
        <v>796.29199999999992</v>
      </c>
      <c r="P273" t="str">
        <f>TEXT(Table1[[#This Row],[Order_Date]],"mmm")</f>
        <v>Dec</v>
      </c>
      <c r="Q273">
        <f>YEAR(Table1[[#This Row],[Order_Date]])</f>
        <v>2023</v>
      </c>
    </row>
    <row r="274" spans="1:17" x14ac:dyDescent="0.3">
      <c r="A274">
        <v>1273</v>
      </c>
      <c r="B274" t="s">
        <v>239</v>
      </c>
      <c r="C274" t="s">
        <v>54</v>
      </c>
      <c r="D274" t="s">
        <v>22</v>
      </c>
      <c r="E274" t="s">
        <v>27</v>
      </c>
      <c r="F274" t="s">
        <v>16</v>
      </c>
      <c r="G274">
        <v>2</v>
      </c>
      <c r="H274">
        <v>4302.16</v>
      </c>
      <c r="I274">
        <v>16</v>
      </c>
      <c r="J274" t="s">
        <v>28</v>
      </c>
      <c r="K274" t="s">
        <v>29</v>
      </c>
      <c r="L274" t="s">
        <v>48</v>
      </c>
      <c r="M274">
        <f>Table1[[#This Row],[Quantity]]*Table1[[#This Row],[Unit_Price]]</f>
        <v>8604.32</v>
      </c>
      <c r="N274">
        <f>Table1[[#This Row],[Sales amount]]*Table1[[#This Row],[Discount]]/100</f>
        <v>1376.6912</v>
      </c>
      <c r="O274">
        <f>Table1[[#This Row],[Sales amount]]-Table1[[#This Row],[Discount amount]]</f>
        <v>7227.6287999999995</v>
      </c>
      <c r="P274" t="str">
        <f>TEXT(Table1[[#This Row],[Order_Date]],"mmm")</f>
        <v>Jun</v>
      </c>
      <c r="Q274">
        <f>YEAR(Table1[[#This Row],[Order_Date]])</f>
        <v>2023</v>
      </c>
    </row>
    <row r="275" spans="1:17" x14ac:dyDescent="0.3">
      <c r="A275">
        <v>1274</v>
      </c>
      <c r="B275" t="s">
        <v>74</v>
      </c>
      <c r="C275" t="s">
        <v>13</v>
      </c>
      <c r="D275" t="s">
        <v>22</v>
      </c>
      <c r="E275" t="s">
        <v>34</v>
      </c>
      <c r="F275" t="s">
        <v>16</v>
      </c>
      <c r="G275">
        <v>8</v>
      </c>
      <c r="H275">
        <v>1413.24</v>
      </c>
      <c r="I275">
        <v>23</v>
      </c>
      <c r="J275" t="s">
        <v>28</v>
      </c>
      <c r="K275" t="s">
        <v>29</v>
      </c>
      <c r="L275" t="s">
        <v>19</v>
      </c>
      <c r="M275">
        <f>Table1[[#This Row],[Quantity]]*Table1[[#This Row],[Unit_Price]]</f>
        <v>11305.92</v>
      </c>
      <c r="N275">
        <f>Table1[[#This Row],[Sales amount]]*Table1[[#This Row],[Discount]]/100</f>
        <v>2600.3616000000002</v>
      </c>
      <c r="O275">
        <f>Table1[[#This Row],[Sales amount]]-Table1[[#This Row],[Discount amount]]</f>
        <v>8705.5583999999999</v>
      </c>
      <c r="P275" t="str">
        <f>TEXT(Table1[[#This Row],[Order_Date]],"mmm")</f>
        <v>Feb</v>
      </c>
      <c r="Q275">
        <f>YEAR(Table1[[#This Row],[Order_Date]])</f>
        <v>2023</v>
      </c>
    </row>
    <row r="276" spans="1:17" x14ac:dyDescent="0.3">
      <c r="A276">
        <v>1275</v>
      </c>
      <c r="B276" t="s">
        <v>240</v>
      </c>
      <c r="C276" t="s">
        <v>52</v>
      </c>
      <c r="D276" t="s">
        <v>43</v>
      </c>
      <c r="E276" t="s">
        <v>34</v>
      </c>
      <c r="F276" t="s">
        <v>23</v>
      </c>
      <c r="G276">
        <v>1</v>
      </c>
      <c r="H276">
        <v>2140.31</v>
      </c>
      <c r="I276">
        <v>6</v>
      </c>
      <c r="J276" t="s">
        <v>28</v>
      </c>
      <c r="K276" t="s">
        <v>40</v>
      </c>
      <c r="L276" t="s">
        <v>19</v>
      </c>
      <c r="M276">
        <f>Table1[[#This Row],[Quantity]]*Table1[[#This Row],[Unit_Price]]</f>
        <v>2140.31</v>
      </c>
      <c r="N276">
        <f>Table1[[#This Row],[Sales amount]]*Table1[[#This Row],[Discount]]/100</f>
        <v>128.4186</v>
      </c>
      <c r="O276">
        <f>Table1[[#This Row],[Sales amount]]-Table1[[#This Row],[Discount amount]]</f>
        <v>2011.8914</v>
      </c>
      <c r="P276" t="str">
        <f>TEXT(Table1[[#This Row],[Order_Date]],"mmm")</f>
        <v>Sep</v>
      </c>
      <c r="Q276">
        <f>YEAR(Table1[[#This Row],[Order_Date]])</f>
        <v>2023</v>
      </c>
    </row>
    <row r="277" spans="1:17" x14ac:dyDescent="0.3">
      <c r="A277">
        <v>1276</v>
      </c>
      <c r="B277" t="s">
        <v>96</v>
      </c>
      <c r="C277" t="s">
        <v>54</v>
      </c>
      <c r="D277" t="s">
        <v>43</v>
      </c>
      <c r="E277" t="s">
        <v>27</v>
      </c>
      <c r="F277" t="s">
        <v>23</v>
      </c>
      <c r="G277">
        <v>4</v>
      </c>
      <c r="H277">
        <v>2834.72</v>
      </c>
      <c r="I277">
        <v>22</v>
      </c>
      <c r="J277" t="s">
        <v>24</v>
      </c>
      <c r="K277" t="s">
        <v>18</v>
      </c>
      <c r="L277" t="s">
        <v>19</v>
      </c>
      <c r="M277">
        <f>Table1[[#This Row],[Quantity]]*Table1[[#This Row],[Unit_Price]]</f>
        <v>11338.88</v>
      </c>
      <c r="N277">
        <f>Table1[[#This Row],[Sales amount]]*Table1[[#This Row],[Discount]]/100</f>
        <v>2494.5535999999997</v>
      </c>
      <c r="O277">
        <f>Table1[[#This Row],[Sales amount]]-Table1[[#This Row],[Discount amount]]</f>
        <v>8844.3263999999999</v>
      </c>
      <c r="P277" t="str">
        <f>TEXT(Table1[[#This Row],[Order_Date]],"mmm")</f>
        <v>Jul</v>
      </c>
      <c r="Q277">
        <f>YEAR(Table1[[#This Row],[Order_Date]])</f>
        <v>2023</v>
      </c>
    </row>
    <row r="278" spans="1:17" x14ac:dyDescent="0.3">
      <c r="A278">
        <v>1277</v>
      </c>
      <c r="B278" t="s">
        <v>241</v>
      </c>
      <c r="C278" t="s">
        <v>32</v>
      </c>
      <c r="D278" t="s">
        <v>47</v>
      </c>
      <c r="E278" t="s">
        <v>34</v>
      </c>
      <c r="F278" t="s">
        <v>35</v>
      </c>
      <c r="G278">
        <v>7</v>
      </c>
      <c r="H278">
        <v>3687.89</v>
      </c>
      <c r="I278">
        <v>7</v>
      </c>
      <c r="J278" t="s">
        <v>17</v>
      </c>
      <c r="K278" t="s">
        <v>29</v>
      </c>
      <c r="L278" t="s">
        <v>19</v>
      </c>
      <c r="M278">
        <f>Table1[[#This Row],[Quantity]]*Table1[[#This Row],[Unit_Price]]</f>
        <v>25815.23</v>
      </c>
      <c r="N278">
        <f>Table1[[#This Row],[Sales amount]]*Table1[[#This Row],[Discount]]/100</f>
        <v>1807.0660999999998</v>
      </c>
      <c r="O278">
        <f>Table1[[#This Row],[Sales amount]]-Table1[[#This Row],[Discount amount]]</f>
        <v>24008.1639</v>
      </c>
      <c r="P278" t="str">
        <f>TEXT(Table1[[#This Row],[Order_Date]],"mmm")</f>
        <v>Nov</v>
      </c>
      <c r="Q278">
        <f>YEAR(Table1[[#This Row],[Order_Date]])</f>
        <v>2023</v>
      </c>
    </row>
    <row r="279" spans="1:17" x14ac:dyDescent="0.3">
      <c r="A279">
        <v>1278</v>
      </c>
      <c r="B279" t="s">
        <v>49</v>
      </c>
      <c r="C279" t="s">
        <v>54</v>
      </c>
      <c r="D279" t="s">
        <v>22</v>
      </c>
      <c r="E279" t="s">
        <v>34</v>
      </c>
      <c r="F279" t="s">
        <v>38</v>
      </c>
      <c r="G279">
        <v>2</v>
      </c>
      <c r="H279">
        <v>3373.97</v>
      </c>
      <c r="I279">
        <v>10</v>
      </c>
      <c r="J279" t="s">
        <v>24</v>
      </c>
      <c r="K279" t="s">
        <v>29</v>
      </c>
      <c r="L279" t="s">
        <v>30</v>
      </c>
      <c r="M279">
        <f>Table1[[#This Row],[Quantity]]*Table1[[#This Row],[Unit_Price]]</f>
        <v>6747.94</v>
      </c>
      <c r="N279">
        <f>Table1[[#This Row],[Sales amount]]*Table1[[#This Row],[Discount]]/100</f>
        <v>674.79399999999998</v>
      </c>
      <c r="O279">
        <f>Table1[[#This Row],[Sales amount]]-Table1[[#This Row],[Discount amount]]</f>
        <v>6073.1459999999997</v>
      </c>
      <c r="P279" t="str">
        <f>TEXT(Table1[[#This Row],[Order_Date]],"mmm")</f>
        <v>Feb</v>
      </c>
      <c r="Q279">
        <f>YEAR(Table1[[#This Row],[Order_Date]])</f>
        <v>2023</v>
      </c>
    </row>
    <row r="280" spans="1:17" x14ac:dyDescent="0.3">
      <c r="A280">
        <v>1279</v>
      </c>
      <c r="B280" t="s">
        <v>59</v>
      </c>
      <c r="C280" t="s">
        <v>54</v>
      </c>
      <c r="D280" t="s">
        <v>47</v>
      </c>
      <c r="E280" t="s">
        <v>15</v>
      </c>
      <c r="F280" t="s">
        <v>62</v>
      </c>
      <c r="G280">
        <v>4</v>
      </c>
      <c r="H280">
        <v>1503.95</v>
      </c>
      <c r="I280">
        <v>17</v>
      </c>
      <c r="J280" t="s">
        <v>17</v>
      </c>
      <c r="K280" t="s">
        <v>18</v>
      </c>
      <c r="L280" t="s">
        <v>30</v>
      </c>
      <c r="M280">
        <f>Table1[[#This Row],[Quantity]]*Table1[[#This Row],[Unit_Price]]</f>
        <v>6015.8</v>
      </c>
      <c r="N280">
        <f>Table1[[#This Row],[Sales amount]]*Table1[[#This Row],[Discount]]/100</f>
        <v>1022.686</v>
      </c>
      <c r="O280">
        <f>Table1[[#This Row],[Sales amount]]-Table1[[#This Row],[Discount amount]]</f>
        <v>4993.1140000000005</v>
      </c>
      <c r="P280" t="str">
        <f>TEXT(Table1[[#This Row],[Order_Date]],"mmm")</f>
        <v>Jul</v>
      </c>
      <c r="Q280">
        <f>YEAR(Table1[[#This Row],[Order_Date]])</f>
        <v>2023</v>
      </c>
    </row>
    <row r="281" spans="1:17" x14ac:dyDescent="0.3">
      <c r="A281">
        <v>1280</v>
      </c>
      <c r="B281" t="s">
        <v>150</v>
      </c>
      <c r="C281" t="s">
        <v>54</v>
      </c>
      <c r="D281" t="s">
        <v>22</v>
      </c>
      <c r="E281" t="s">
        <v>15</v>
      </c>
      <c r="F281" t="s">
        <v>38</v>
      </c>
      <c r="G281">
        <v>2</v>
      </c>
      <c r="H281">
        <v>2561.9</v>
      </c>
      <c r="I281">
        <v>14</v>
      </c>
      <c r="J281" t="s">
        <v>39</v>
      </c>
      <c r="K281" t="s">
        <v>18</v>
      </c>
      <c r="L281" t="s">
        <v>48</v>
      </c>
      <c r="M281">
        <f>Table1[[#This Row],[Quantity]]*Table1[[#This Row],[Unit_Price]]</f>
        <v>5123.8</v>
      </c>
      <c r="N281">
        <f>Table1[[#This Row],[Sales amount]]*Table1[[#This Row],[Discount]]/100</f>
        <v>717.33199999999999</v>
      </c>
      <c r="O281">
        <f>Table1[[#This Row],[Sales amount]]-Table1[[#This Row],[Discount amount]]</f>
        <v>4406.4679999999998</v>
      </c>
      <c r="P281" t="str">
        <f>TEXT(Table1[[#This Row],[Order_Date]],"mmm")</f>
        <v>Aug</v>
      </c>
      <c r="Q281">
        <f>YEAR(Table1[[#This Row],[Order_Date]])</f>
        <v>2023</v>
      </c>
    </row>
    <row r="282" spans="1:17" x14ac:dyDescent="0.3">
      <c r="A282">
        <v>1281</v>
      </c>
      <c r="B282" t="s">
        <v>242</v>
      </c>
      <c r="C282" t="s">
        <v>42</v>
      </c>
      <c r="D282" t="s">
        <v>22</v>
      </c>
      <c r="E282" t="s">
        <v>15</v>
      </c>
      <c r="F282" t="s">
        <v>23</v>
      </c>
      <c r="G282">
        <v>6</v>
      </c>
      <c r="H282">
        <v>1087.97</v>
      </c>
      <c r="I282">
        <v>3</v>
      </c>
      <c r="J282" t="s">
        <v>17</v>
      </c>
      <c r="K282" t="s">
        <v>18</v>
      </c>
      <c r="L282" t="s">
        <v>19</v>
      </c>
      <c r="M282">
        <f>Table1[[#This Row],[Quantity]]*Table1[[#This Row],[Unit_Price]]</f>
        <v>6527.82</v>
      </c>
      <c r="N282">
        <f>Table1[[#This Row],[Sales amount]]*Table1[[#This Row],[Discount]]/100</f>
        <v>195.83459999999999</v>
      </c>
      <c r="O282">
        <f>Table1[[#This Row],[Sales amount]]-Table1[[#This Row],[Discount amount]]</f>
        <v>6331.9853999999996</v>
      </c>
      <c r="P282" t="str">
        <f>TEXT(Table1[[#This Row],[Order_Date]],"mmm")</f>
        <v>May</v>
      </c>
      <c r="Q282">
        <f>YEAR(Table1[[#This Row],[Order_Date]])</f>
        <v>2023</v>
      </c>
    </row>
    <row r="283" spans="1:17" x14ac:dyDescent="0.3">
      <c r="A283">
        <v>1282</v>
      </c>
      <c r="B283" t="s">
        <v>243</v>
      </c>
      <c r="C283" t="s">
        <v>65</v>
      </c>
      <c r="D283" t="s">
        <v>14</v>
      </c>
      <c r="E283" t="s">
        <v>15</v>
      </c>
      <c r="F283" t="s">
        <v>23</v>
      </c>
      <c r="G283">
        <v>9</v>
      </c>
      <c r="H283">
        <v>3878.7</v>
      </c>
      <c r="I283">
        <v>5</v>
      </c>
      <c r="J283" t="s">
        <v>17</v>
      </c>
      <c r="K283" t="s">
        <v>40</v>
      </c>
      <c r="L283" t="s">
        <v>48</v>
      </c>
      <c r="M283">
        <f>Table1[[#This Row],[Quantity]]*Table1[[#This Row],[Unit_Price]]</f>
        <v>34908.299999999996</v>
      </c>
      <c r="N283">
        <f>Table1[[#This Row],[Sales amount]]*Table1[[#This Row],[Discount]]/100</f>
        <v>1745.4149999999997</v>
      </c>
      <c r="O283">
        <f>Table1[[#This Row],[Sales amount]]-Table1[[#This Row],[Discount amount]]</f>
        <v>33162.884999999995</v>
      </c>
      <c r="P283" t="str">
        <f>TEXT(Table1[[#This Row],[Order_Date]],"mmm")</f>
        <v>Nov</v>
      </c>
      <c r="Q283">
        <f>YEAR(Table1[[#This Row],[Order_Date]])</f>
        <v>2023</v>
      </c>
    </row>
    <row r="284" spans="1:17" x14ac:dyDescent="0.3">
      <c r="A284">
        <v>1283</v>
      </c>
      <c r="B284" t="s">
        <v>244</v>
      </c>
      <c r="C284" t="s">
        <v>46</v>
      </c>
      <c r="D284" t="s">
        <v>33</v>
      </c>
      <c r="E284" t="s">
        <v>27</v>
      </c>
      <c r="F284" t="s">
        <v>38</v>
      </c>
      <c r="G284">
        <v>4</v>
      </c>
      <c r="H284">
        <v>1358.79</v>
      </c>
      <c r="I284">
        <v>9</v>
      </c>
      <c r="J284" t="s">
        <v>39</v>
      </c>
      <c r="K284" t="s">
        <v>29</v>
      </c>
      <c r="L284" t="s">
        <v>19</v>
      </c>
      <c r="M284">
        <f>Table1[[#This Row],[Quantity]]*Table1[[#This Row],[Unit_Price]]</f>
        <v>5435.16</v>
      </c>
      <c r="N284">
        <f>Table1[[#This Row],[Sales amount]]*Table1[[#This Row],[Discount]]/100</f>
        <v>489.1644</v>
      </c>
      <c r="O284">
        <f>Table1[[#This Row],[Sales amount]]-Table1[[#This Row],[Discount amount]]</f>
        <v>4945.9956000000002</v>
      </c>
      <c r="P284" t="str">
        <f>TEXT(Table1[[#This Row],[Order_Date]],"mmm")</f>
        <v>May</v>
      </c>
      <c r="Q284">
        <f>YEAR(Table1[[#This Row],[Order_Date]])</f>
        <v>2023</v>
      </c>
    </row>
    <row r="285" spans="1:17" x14ac:dyDescent="0.3">
      <c r="A285">
        <v>1284</v>
      </c>
      <c r="B285" t="s">
        <v>245</v>
      </c>
      <c r="C285" t="s">
        <v>13</v>
      </c>
      <c r="D285" t="s">
        <v>43</v>
      </c>
      <c r="E285" t="s">
        <v>34</v>
      </c>
      <c r="F285" t="s">
        <v>35</v>
      </c>
      <c r="G285">
        <v>6</v>
      </c>
      <c r="H285">
        <v>4209.55</v>
      </c>
      <c r="I285">
        <v>11</v>
      </c>
      <c r="J285" t="s">
        <v>24</v>
      </c>
      <c r="K285" t="s">
        <v>29</v>
      </c>
      <c r="L285" t="s">
        <v>30</v>
      </c>
      <c r="M285">
        <f>Table1[[#This Row],[Quantity]]*Table1[[#This Row],[Unit_Price]]</f>
        <v>25257.300000000003</v>
      </c>
      <c r="N285">
        <f>Table1[[#This Row],[Sales amount]]*Table1[[#This Row],[Discount]]/100</f>
        <v>2778.3030000000003</v>
      </c>
      <c r="O285">
        <f>Table1[[#This Row],[Sales amount]]-Table1[[#This Row],[Discount amount]]</f>
        <v>22478.997000000003</v>
      </c>
      <c r="P285" t="str">
        <f>TEXT(Table1[[#This Row],[Order_Date]],"mmm")</f>
        <v>May</v>
      </c>
      <c r="Q285">
        <f>YEAR(Table1[[#This Row],[Order_Date]])</f>
        <v>2023</v>
      </c>
    </row>
    <row r="286" spans="1:17" x14ac:dyDescent="0.3">
      <c r="A286">
        <v>1285</v>
      </c>
      <c r="B286" t="s">
        <v>83</v>
      </c>
      <c r="C286" t="s">
        <v>42</v>
      </c>
      <c r="D286" t="s">
        <v>22</v>
      </c>
      <c r="E286" t="s">
        <v>34</v>
      </c>
      <c r="F286" t="s">
        <v>62</v>
      </c>
      <c r="G286">
        <v>1</v>
      </c>
      <c r="H286">
        <v>655.38</v>
      </c>
      <c r="I286">
        <v>4</v>
      </c>
      <c r="J286" t="s">
        <v>17</v>
      </c>
      <c r="K286" t="s">
        <v>29</v>
      </c>
      <c r="L286" t="s">
        <v>30</v>
      </c>
      <c r="M286">
        <f>Table1[[#This Row],[Quantity]]*Table1[[#This Row],[Unit_Price]]</f>
        <v>655.38</v>
      </c>
      <c r="N286">
        <f>Table1[[#This Row],[Sales amount]]*Table1[[#This Row],[Discount]]/100</f>
        <v>26.215199999999999</v>
      </c>
      <c r="O286">
        <f>Table1[[#This Row],[Sales amount]]-Table1[[#This Row],[Discount amount]]</f>
        <v>629.16480000000001</v>
      </c>
      <c r="P286" t="str">
        <f>TEXT(Table1[[#This Row],[Order_Date]],"mmm")</f>
        <v>Jun</v>
      </c>
      <c r="Q286">
        <f>YEAR(Table1[[#This Row],[Order_Date]])</f>
        <v>2023</v>
      </c>
    </row>
    <row r="287" spans="1:17" x14ac:dyDescent="0.3">
      <c r="A287">
        <v>1286</v>
      </c>
      <c r="B287" t="s">
        <v>246</v>
      </c>
      <c r="C287" t="s">
        <v>54</v>
      </c>
      <c r="D287" t="s">
        <v>33</v>
      </c>
      <c r="E287" t="s">
        <v>27</v>
      </c>
      <c r="F287" t="s">
        <v>62</v>
      </c>
      <c r="G287">
        <v>3</v>
      </c>
      <c r="H287">
        <v>1345.83</v>
      </c>
      <c r="I287">
        <v>30</v>
      </c>
      <c r="J287" t="s">
        <v>17</v>
      </c>
      <c r="K287" t="s">
        <v>29</v>
      </c>
      <c r="L287" t="s">
        <v>19</v>
      </c>
      <c r="M287">
        <f>Table1[[#This Row],[Quantity]]*Table1[[#This Row],[Unit_Price]]</f>
        <v>4037.49</v>
      </c>
      <c r="N287">
        <f>Table1[[#This Row],[Sales amount]]*Table1[[#This Row],[Discount]]/100</f>
        <v>1211.2470000000001</v>
      </c>
      <c r="O287">
        <f>Table1[[#This Row],[Sales amount]]-Table1[[#This Row],[Discount amount]]</f>
        <v>2826.2429999999995</v>
      </c>
      <c r="P287" t="str">
        <f>TEXT(Table1[[#This Row],[Order_Date]],"mmm")</f>
        <v>Mar</v>
      </c>
      <c r="Q287">
        <f>YEAR(Table1[[#This Row],[Order_Date]])</f>
        <v>2023</v>
      </c>
    </row>
    <row r="288" spans="1:17" x14ac:dyDescent="0.3">
      <c r="A288">
        <v>1287</v>
      </c>
      <c r="B288" t="s">
        <v>164</v>
      </c>
      <c r="C288" t="s">
        <v>21</v>
      </c>
      <c r="D288" t="s">
        <v>43</v>
      </c>
      <c r="E288" t="s">
        <v>27</v>
      </c>
      <c r="F288" t="s">
        <v>35</v>
      </c>
      <c r="G288">
        <v>9</v>
      </c>
      <c r="H288">
        <v>2368.6799999999998</v>
      </c>
      <c r="I288">
        <v>2</v>
      </c>
      <c r="J288" t="s">
        <v>39</v>
      </c>
      <c r="K288" t="s">
        <v>29</v>
      </c>
      <c r="L288" t="s">
        <v>19</v>
      </c>
      <c r="M288">
        <f>Table1[[#This Row],[Quantity]]*Table1[[#This Row],[Unit_Price]]</f>
        <v>21318.12</v>
      </c>
      <c r="N288">
        <f>Table1[[#This Row],[Sales amount]]*Table1[[#This Row],[Discount]]/100</f>
        <v>426.36239999999998</v>
      </c>
      <c r="O288">
        <f>Table1[[#This Row],[Sales amount]]-Table1[[#This Row],[Discount amount]]</f>
        <v>20891.757599999997</v>
      </c>
      <c r="P288" t="str">
        <f>TEXT(Table1[[#This Row],[Order_Date]],"mmm")</f>
        <v>Sep</v>
      </c>
      <c r="Q288">
        <f>YEAR(Table1[[#This Row],[Order_Date]])</f>
        <v>2023</v>
      </c>
    </row>
    <row r="289" spans="1:17" x14ac:dyDescent="0.3">
      <c r="A289">
        <v>1288</v>
      </c>
      <c r="B289" t="s">
        <v>206</v>
      </c>
      <c r="C289" t="s">
        <v>52</v>
      </c>
      <c r="D289" t="s">
        <v>14</v>
      </c>
      <c r="E289" t="s">
        <v>27</v>
      </c>
      <c r="F289" t="s">
        <v>44</v>
      </c>
      <c r="G289">
        <v>4</v>
      </c>
      <c r="H289">
        <v>1678.89</v>
      </c>
      <c r="I289">
        <v>22</v>
      </c>
      <c r="J289" t="s">
        <v>17</v>
      </c>
      <c r="K289" t="s">
        <v>40</v>
      </c>
      <c r="L289" t="s">
        <v>30</v>
      </c>
      <c r="M289">
        <f>Table1[[#This Row],[Quantity]]*Table1[[#This Row],[Unit_Price]]</f>
        <v>6715.56</v>
      </c>
      <c r="N289">
        <f>Table1[[#This Row],[Sales amount]]*Table1[[#This Row],[Discount]]/100</f>
        <v>1477.4232000000002</v>
      </c>
      <c r="O289">
        <f>Table1[[#This Row],[Sales amount]]-Table1[[#This Row],[Discount amount]]</f>
        <v>5238.1368000000002</v>
      </c>
      <c r="P289" t="str">
        <f>TEXT(Table1[[#This Row],[Order_Date]],"mmm")</f>
        <v>Sep</v>
      </c>
      <c r="Q289">
        <f>YEAR(Table1[[#This Row],[Order_Date]])</f>
        <v>2023</v>
      </c>
    </row>
    <row r="290" spans="1:17" x14ac:dyDescent="0.3">
      <c r="A290">
        <v>1289</v>
      </c>
      <c r="B290" t="s">
        <v>247</v>
      </c>
      <c r="C290" t="s">
        <v>52</v>
      </c>
      <c r="D290" t="s">
        <v>43</v>
      </c>
      <c r="E290" t="s">
        <v>27</v>
      </c>
      <c r="F290" t="s">
        <v>44</v>
      </c>
      <c r="G290">
        <v>2</v>
      </c>
      <c r="H290">
        <v>788.98</v>
      </c>
      <c r="I290">
        <v>16</v>
      </c>
      <c r="J290" t="s">
        <v>24</v>
      </c>
      <c r="K290" t="s">
        <v>40</v>
      </c>
      <c r="L290" t="s">
        <v>19</v>
      </c>
      <c r="M290">
        <f>Table1[[#This Row],[Quantity]]*Table1[[#This Row],[Unit_Price]]</f>
        <v>1577.96</v>
      </c>
      <c r="N290">
        <f>Table1[[#This Row],[Sales amount]]*Table1[[#This Row],[Discount]]/100</f>
        <v>252.4736</v>
      </c>
      <c r="O290">
        <f>Table1[[#This Row],[Sales amount]]-Table1[[#This Row],[Discount amount]]</f>
        <v>1325.4864</v>
      </c>
      <c r="P290" t="str">
        <f>TEXT(Table1[[#This Row],[Order_Date]],"mmm")</f>
        <v>Nov</v>
      </c>
      <c r="Q290">
        <f>YEAR(Table1[[#This Row],[Order_Date]])</f>
        <v>2023</v>
      </c>
    </row>
    <row r="291" spans="1:17" x14ac:dyDescent="0.3">
      <c r="A291">
        <v>1290</v>
      </c>
      <c r="B291" t="s">
        <v>248</v>
      </c>
      <c r="C291" t="s">
        <v>21</v>
      </c>
      <c r="D291" t="s">
        <v>22</v>
      </c>
      <c r="E291" t="s">
        <v>34</v>
      </c>
      <c r="F291" t="s">
        <v>44</v>
      </c>
      <c r="G291">
        <v>1</v>
      </c>
      <c r="H291">
        <v>1347.97</v>
      </c>
      <c r="I291">
        <v>27</v>
      </c>
      <c r="J291" t="s">
        <v>28</v>
      </c>
      <c r="K291" t="s">
        <v>29</v>
      </c>
      <c r="L291" t="s">
        <v>30</v>
      </c>
      <c r="M291">
        <f>Table1[[#This Row],[Quantity]]*Table1[[#This Row],[Unit_Price]]</f>
        <v>1347.97</v>
      </c>
      <c r="N291">
        <f>Table1[[#This Row],[Sales amount]]*Table1[[#This Row],[Discount]]/100</f>
        <v>363.95190000000002</v>
      </c>
      <c r="O291">
        <f>Table1[[#This Row],[Sales amount]]-Table1[[#This Row],[Discount amount]]</f>
        <v>984.0181</v>
      </c>
      <c r="P291" t="str">
        <f>TEXT(Table1[[#This Row],[Order_Date]],"mmm")</f>
        <v>Oct</v>
      </c>
      <c r="Q291">
        <f>YEAR(Table1[[#This Row],[Order_Date]])</f>
        <v>2023</v>
      </c>
    </row>
    <row r="292" spans="1:17" x14ac:dyDescent="0.3">
      <c r="A292">
        <v>1291</v>
      </c>
      <c r="B292" t="s">
        <v>95</v>
      </c>
      <c r="C292" t="s">
        <v>54</v>
      </c>
      <c r="D292" t="s">
        <v>14</v>
      </c>
      <c r="E292" t="s">
        <v>15</v>
      </c>
      <c r="F292" t="s">
        <v>38</v>
      </c>
      <c r="G292">
        <v>8</v>
      </c>
      <c r="H292">
        <v>4537.67</v>
      </c>
      <c r="I292">
        <v>21</v>
      </c>
      <c r="J292" t="s">
        <v>24</v>
      </c>
      <c r="K292" t="s">
        <v>40</v>
      </c>
      <c r="L292" t="s">
        <v>30</v>
      </c>
      <c r="M292">
        <f>Table1[[#This Row],[Quantity]]*Table1[[#This Row],[Unit_Price]]</f>
        <v>36301.360000000001</v>
      </c>
      <c r="N292">
        <f>Table1[[#This Row],[Sales amount]]*Table1[[#This Row],[Discount]]/100</f>
        <v>7623.2856000000002</v>
      </c>
      <c r="O292">
        <f>Table1[[#This Row],[Sales amount]]-Table1[[#This Row],[Discount amount]]</f>
        <v>28678.074400000001</v>
      </c>
      <c r="P292" t="str">
        <f>TEXT(Table1[[#This Row],[Order_Date]],"mmm")</f>
        <v>Apr</v>
      </c>
      <c r="Q292">
        <f>YEAR(Table1[[#This Row],[Order_Date]])</f>
        <v>2023</v>
      </c>
    </row>
    <row r="293" spans="1:17" x14ac:dyDescent="0.3">
      <c r="A293">
        <v>1292</v>
      </c>
      <c r="B293" t="s">
        <v>69</v>
      </c>
      <c r="C293" t="s">
        <v>65</v>
      </c>
      <c r="D293" t="s">
        <v>47</v>
      </c>
      <c r="E293" t="s">
        <v>15</v>
      </c>
      <c r="F293" t="s">
        <v>35</v>
      </c>
      <c r="G293">
        <v>3</v>
      </c>
      <c r="H293">
        <v>2124.84</v>
      </c>
      <c r="I293">
        <v>13</v>
      </c>
      <c r="J293" t="s">
        <v>17</v>
      </c>
      <c r="K293" t="s">
        <v>40</v>
      </c>
      <c r="L293" t="s">
        <v>30</v>
      </c>
      <c r="M293">
        <f>Table1[[#This Row],[Quantity]]*Table1[[#This Row],[Unit_Price]]</f>
        <v>6374.52</v>
      </c>
      <c r="N293">
        <f>Table1[[#This Row],[Sales amount]]*Table1[[#This Row],[Discount]]/100</f>
        <v>828.68760000000009</v>
      </c>
      <c r="O293">
        <f>Table1[[#This Row],[Sales amount]]-Table1[[#This Row],[Discount amount]]</f>
        <v>5545.8324000000002</v>
      </c>
      <c r="P293" t="str">
        <f>TEXT(Table1[[#This Row],[Order_Date]],"mmm")</f>
        <v>Oct</v>
      </c>
      <c r="Q293">
        <f>YEAR(Table1[[#This Row],[Order_Date]])</f>
        <v>2023</v>
      </c>
    </row>
    <row r="294" spans="1:17" x14ac:dyDescent="0.3">
      <c r="A294">
        <v>1293</v>
      </c>
      <c r="B294" t="s">
        <v>121</v>
      </c>
      <c r="C294" t="s">
        <v>32</v>
      </c>
      <c r="D294" t="s">
        <v>47</v>
      </c>
      <c r="E294" t="s">
        <v>15</v>
      </c>
      <c r="F294" t="s">
        <v>62</v>
      </c>
      <c r="G294">
        <v>4</v>
      </c>
      <c r="H294">
        <v>1805.9</v>
      </c>
      <c r="I294">
        <v>30</v>
      </c>
      <c r="J294" t="s">
        <v>28</v>
      </c>
      <c r="K294" t="s">
        <v>18</v>
      </c>
      <c r="L294" t="s">
        <v>30</v>
      </c>
      <c r="M294">
        <f>Table1[[#This Row],[Quantity]]*Table1[[#This Row],[Unit_Price]]</f>
        <v>7223.6</v>
      </c>
      <c r="N294">
        <f>Table1[[#This Row],[Sales amount]]*Table1[[#This Row],[Discount]]/100</f>
        <v>2167.08</v>
      </c>
      <c r="O294">
        <f>Table1[[#This Row],[Sales amount]]-Table1[[#This Row],[Discount amount]]</f>
        <v>5056.5200000000004</v>
      </c>
      <c r="P294" t="str">
        <f>TEXT(Table1[[#This Row],[Order_Date]],"mmm")</f>
        <v>May</v>
      </c>
      <c r="Q294">
        <f>YEAR(Table1[[#This Row],[Order_Date]])</f>
        <v>2023</v>
      </c>
    </row>
    <row r="295" spans="1:17" x14ac:dyDescent="0.3">
      <c r="A295">
        <v>1294</v>
      </c>
      <c r="B295" t="s">
        <v>96</v>
      </c>
      <c r="C295" t="s">
        <v>42</v>
      </c>
      <c r="D295" t="s">
        <v>14</v>
      </c>
      <c r="E295" t="s">
        <v>15</v>
      </c>
      <c r="F295" t="s">
        <v>38</v>
      </c>
      <c r="G295">
        <v>5</v>
      </c>
      <c r="H295">
        <v>4364.6899999999996</v>
      </c>
      <c r="I295">
        <v>29</v>
      </c>
      <c r="J295" t="s">
        <v>28</v>
      </c>
      <c r="K295" t="s">
        <v>18</v>
      </c>
      <c r="L295" t="s">
        <v>48</v>
      </c>
      <c r="M295">
        <f>Table1[[#This Row],[Quantity]]*Table1[[#This Row],[Unit_Price]]</f>
        <v>21823.449999999997</v>
      </c>
      <c r="N295">
        <f>Table1[[#This Row],[Sales amount]]*Table1[[#This Row],[Discount]]/100</f>
        <v>6328.8004999999994</v>
      </c>
      <c r="O295">
        <f>Table1[[#This Row],[Sales amount]]-Table1[[#This Row],[Discount amount]]</f>
        <v>15494.649499999998</v>
      </c>
      <c r="P295" t="str">
        <f>TEXT(Table1[[#This Row],[Order_Date]],"mmm")</f>
        <v>Jul</v>
      </c>
      <c r="Q295">
        <f>YEAR(Table1[[#This Row],[Order_Date]])</f>
        <v>2023</v>
      </c>
    </row>
    <row r="296" spans="1:17" x14ac:dyDescent="0.3">
      <c r="A296">
        <v>1295</v>
      </c>
      <c r="B296" t="s">
        <v>205</v>
      </c>
      <c r="C296" t="s">
        <v>13</v>
      </c>
      <c r="D296" t="s">
        <v>14</v>
      </c>
      <c r="E296" t="s">
        <v>27</v>
      </c>
      <c r="F296" t="s">
        <v>35</v>
      </c>
      <c r="G296">
        <v>8</v>
      </c>
      <c r="H296">
        <v>1571.27</v>
      </c>
      <c r="I296">
        <v>28</v>
      </c>
      <c r="J296" t="s">
        <v>28</v>
      </c>
      <c r="K296" t="s">
        <v>40</v>
      </c>
      <c r="L296" t="s">
        <v>48</v>
      </c>
      <c r="M296">
        <f>Table1[[#This Row],[Quantity]]*Table1[[#This Row],[Unit_Price]]</f>
        <v>12570.16</v>
      </c>
      <c r="N296">
        <f>Table1[[#This Row],[Sales amount]]*Table1[[#This Row],[Discount]]/100</f>
        <v>3519.6448</v>
      </c>
      <c r="O296">
        <f>Table1[[#This Row],[Sales amount]]-Table1[[#This Row],[Discount amount]]</f>
        <v>9050.5151999999998</v>
      </c>
      <c r="P296" t="str">
        <f>TEXT(Table1[[#This Row],[Order_Date]],"mmm")</f>
        <v>May</v>
      </c>
      <c r="Q296">
        <f>YEAR(Table1[[#This Row],[Order_Date]])</f>
        <v>2023</v>
      </c>
    </row>
    <row r="297" spans="1:17" x14ac:dyDescent="0.3">
      <c r="A297">
        <v>1296</v>
      </c>
      <c r="B297" t="s">
        <v>231</v>
      </c>
      <c r="C297" t="s">
        <v>65</v>
      </c>
      <c r="D297" t="s">
        <v>47</v>
      </c>
      <c r="E297" t="s">
        <v>27</v>
      </c>
      <c r="F297" t="s">
        <v>62</v>
      </c>
      <c r="G297">
        <v>8</v>
      </c>
      <c r="H297">
        <v>1539.72</v>
      </c>
      <c r="I297">
        <v>2</v>
      </c>
      <c r="J297" t="s">
        <v>17</v>
      </c>
      <c r="K297" t="s">
        <v>18</v>
      </c>
      <c r="L297" t="s">
        <v>48</v>
      </c>
      <c r="M297">
        <f>Table1[[#This Row],[Quantity]]*Table1[[#This Row],[Unit_Price]]</f>
        <v>12317.76</v>
      </c>
      <c r="N297">
        <f>Table1[[#This Row],[Sales amount]]*Table1[[#This Row],[Discount]]/100</f>
        <v>246.3552</v>
      </c>
      <c r="O297">
        <f>Table1[[#This Row],[Sales amount]]-Table1[[#This Row],[Discount amount]]</f>
        <v>12071.4048</v>
      </c>
      <c r="P297" t="str">
        <f>TEXT(Table1[[#This Row],[Order_Date]],"mmm")</f>
        <v>May</v>
      </c>
      <c r="Q297">
        <f>YEAR(Table1[[#This Row],[Order_Date]])</f>
        <v>2023</v>
      </c>
    </row>
    <row r="298" spans="1:17" x14ac:dyDescent="0.3">
      <c r="A298">
        <v>1297</v>
      </c>
      <c r="B298" t="s">
        <v>249</v>
      </c>
      <c r="C298" t="s">
        <v>54</v>
      </c>
      <c r="D298" t="s">
        <v>43</v>
      </c>
      <c r="E298" t="s">
        <v>27</v>
      </c>
      <c r="F298" t="s">
        <v>16</v>
      </c>
      <c r="G298">
        <v>5</v>
      </c>
      <c r="H298">
        <v>1082.46</v>
      </c>
      <c r="I298">
        <v>2</v>
      </c>
      <c r="J298" t="s">
        <v>39</v>
      </c>
      <c r="K298" t="s">
        <v>40</v>
      </c>
      <c r="L298" t="s">
        <v>30</v>
      </c>
      <c r="M298">
        <f>Table1[[#This Row],[Quantity]]*Table1[[#This Row],[Unit_Price]]</f>
        <v>5412.3</v>
      </c>
      <c r="N298">
        <f>Table1[[#This Row],[Sales amount]]*Table1[[#This Row],[Discount]]/100</f>
        <v>108.24600000000001</v>
      </c>
      <c r="O298">
        <f>Table1[[#This Row],[Sales amount]]-Table1[[#This Row],[Discount amount]]</f>
        <v>5304.0540000000001</v>
      </c>
      <c r="P298" t="str">
        <f>TEXT(Table1[[#This Row],[Order_Date]],"mmm")</f>
        <v>Feb</v>
      </c>
      <c r="Q298">
        <f>YEAR(Table1[[#This Row],[Order_Date]])</f>
        <v>2023</v>
      </c>
    </row>
    <row r="299" spans="1:17" x14ac:dyDescent="0.3">
      <c r="A299">
        <v>1298</v>
      </c>
      <c r="B299" t="s">
        <v>150</v>
      </c>
      <c r="C299" t="s">
        <v>46</v>
      </c>
      <c r="D299" t="s">
        <v>43</v>
      </c>
      <c r="E299" t="s">
        <v>27</v>
      </c>
      <c r="F299" t="s">
        <v>62</v>
      </c>
      <c r="G299">
        <v>10</v>
      </c>
      <c r="H299">
        <v>934.8</v>
      </c>
      <c r="I299">
        <v>10</v>
      </c>
      <c r="J299" t="s">
        <v>24</v>
      </c>
      <c r="K299" t="s">
        <v>18</v>
      </c>
      <c r="L299" t="s">
        <v>30</v>
      </c>
      <c r="M299">
        <f>Table1[[#This Row],[Quantity]]*Table1[[#This Row],[Unit_Price]]</f>
        <v>9348</v>
      </c>
      <c r="N299">
        <f>Table1[[#This Row],[Sales amount]]*Table1[[#This Row],[Discount]]/100</f>
        <v>934.8</v>
      </c>
      <c r="O299">
        <f>Table1[[#This Row],[Sales amount]]-Table1[[#This Row],[Discount amount]]</f>
        <v>8413.2000000000007</v>
      </c>
      <c r="P299" t="str">
        <f>TEXT(Table1[[#This Row],[Order_Date]],"mmm")</f>
        <v>Aug</v>
      </c>
      <c r="Q299">
        <f>YEAR(Table1[[#This Row],[Order_Date]])</f>
        <v>2023</v>
      </c>
    </row>
    <row r="300" spans="1:17" x14ac:dyDescent="0.3">
      <c r="A300">
        <v>1299</v>
      </c>
      <c r="B300" t="s">
        <v>70</v>
      </c>
      <c r="C300" t="s">
        <v>21</v>
      </c>
      <c r="D300" t="s">
        <v>47</v>
      </c>
      <c r="E300" t="s">
        <v>27</v>
      </c>
      <c r="F300" t="s">
        <v>62</v>
      </c>
      <c r="G300">
        <v>3</v>
      </c>
      <c r="H300">
        <v>1198.68</v>
      </c>
      <c r="I300">
        <v>3</v>
      </c>
      <c r="J300" t="s">
        <v>17</v>
      </c>
      <c r="K300" t="s">
        <v>40</v>
      </c>
      <c r="L300" t="s">
        <v>30</v>
      </c>
      <c r="M300">
        <f>Table1[[#This Row],[Quantity]]*Table1[[#This Row],[Unit_Price]]</f>
        <v>3596.04</v>
      </c>
      <c r="N300">
        <f>Table1[[#This Row],[Sales amount]]*Table1[[#This Row],[Discount]]/100</f>
        <v>107.88119999999999</v>
      </c>
      <c r="O300">
        <f>Table1[[#This Row],[Sales amount]]-Table1[[#This Row],[Discount amount]]</f>
        <v>3488.1588000000002</v>
      </c>
      <c r="P300" t="str">
        <f>TEXT(Table1[[#This Row],[Order_Date]],"mmm")</f>
        <v>Jun</v>
      </c>
      <c r="Q300">
        <f>YEAR(Table1[[#This Row],[Order_Date]])</f>
        <v>2023</v>
      </c>
    </row>
    <row r="301" spans="1:17" x14ac:dyDescent="0.3">
      <c r="A301">
        <v>1300</v>
      </c>
      <c r="B301" t="s">
        <v>135</v>
      </c>
      <c r="C301" t="s">
        <v>54</v>
      </c>
      <c r="D301" t="s">
        <v>14</v>
      </c>
      <c r="E301" t="s">
        <v>15</v>
      </c>
      <c r="F301" t="s">
        <v>38</v>
      </c>
      <c r="G301">
        <v>3</v>
      </c>
      <c r="H301">
        <v>3469.97</v>
      </c>
      <c r="I301">
        <v>23</v>
      </c>
      <c r="J301" t="s">
        <v>39</v>
      </c>
      <c r="K301" t="s">
        <v>29</v>
      </c>
      <c r="L301" t="s">
        <v>30</v>
      </c>
      <c r="M301">
        <f>Table1[[#This Row],[Quantity]]*Table1[[#This Row],[Unit_Price]]</f>
        <v>10409.91</v>
      </c>
      <c r="N301">
        <f>Table1[[#This Row],[Sales amount]]*Table1[[#This Row],[Discount]]/100</f>
        <v>2394.2793000000001</v>
      </c>
      <c r="O301">
        <f>Table1[[#This Row],[Sales amount]]-Table1[[#This Row],[Discount amount]]</f>
        <v>8015.6306999999997</v>
      </c>
      <c r="P301" t="str">
        <f>TEXT(Table1[[#This Row],[Order_Date]],"mmm")</f>
        <v>Mar</v>
      </c>
      <c r="Q301">
        <f>YEAR(Table1[[#This Row],[Order_Date]])</f>
        <v>2023</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selection activeCell="R18" sqref="R18"/>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1001</v>
      </c>
      <c r="B2" t="s">
        <v>12</v>
      </c>
      <c r="C2" t="s">
        <v>13</v>
      </c>
      <c r="D2" t="s">
        <v>14</v>
      </c>
      <c r="E2" t="s">
        <v>15</v>
      </c>
      <c r="F2" t="s">
        <v>16</v>
      </c>
      <c r="G2">
        <v>3</v>
      </c>
      <c r="H2">
        <v>1966.17</v>
      </c>
      <c r="I2">
        <v>15</v>
      </c>
      <c r="J2" t="s">
        <v>17</v>
      </c>
      <c r="K2" t="s">
        <v>18</v>
      </c>
      <c r="L2" t="s">
        <v>19</v>
      </c>
    </row>
    <row r="3" spans="1:12" x14ac:dyDescent="0.3">
      <c r="A3">
        <v>1002</v>
      </c>
      <c r="B3" t="s">
        <v>20</v>
      </c>
      <c r="C3" t="s">
        <v>21</v>
      </c>
      <c r="D3" t="s">
        <v>22</v>
      </c>
      <c r="E3" t="s">
        <v>15</v>
      </c>
      <c r="F3" t="s">
        <v>23</v>
      </c>
      <c r="G3">
        <v>7</v>
      </c>
      <c r="H3">
        <v>4401.58</v>
      </c>
      <c r="I3">
        <v>5</v>
      </c>
      <c r="J3" t="s">
        <v>24</v>
      </c>
      <c r="K3" t="s">
        <v>18</v>
      </c>
      <c r="L3" t="s">
        <v>19</v>
      </c>
    </row>
    <row r="4" spans="1:12" x14ac:dyDescent="0.3">
      <c r="A4">
        <v>1003</v>
      </c>
      <c r="B4" t="s">
        <v>25</v>
      </c>
      <c r="C4" t="s">
        <v>26</v>
      </c>
      <c r="D4" t="s">
        <v>22</v>
      </c>
      <c r="E4" t="s">
        <v>27</v>
      </c>
      <c r="F4" t="s">
        <v>23</v>
      </c>
      <c r="G4">
        <v>5</v>
      </c>
      <c r="H4">
        <v>1111.8399999999999</v>
      </c>
      <c r="I4">
        <v>11</v>
      </c>
      <c r="J4" t="s">
        <v>28</v>
      </c>
      <c r="K4" t="s">
        <v>29</v>
      </c>
      <c r="L4" t="s">
        <v>30</v>
      </c>
    </row>
    <row r="5" spans="1:12" x14ac:dyDescent="0.3">
      <c r="A5">
        <v>1004</v>
      </c>
      <c r="B5" t="s">
        <v>31</v>
      </c>
      <c r="C5" t="s">
        <v>32</v>
      </c>
      <c r="D5" t="s">
        <v>33</v>
      </c>
      <c r="E5" t="s">
        <v>34</v>
      </c>
      <c r="F5" t="s">
        <v>35</v>
      </c>
      <c r="G5">
        <v>7</v>
      </c>
      <c r="H5">
        <v>1149.6099999999999</v>
      </c>
      <c r="I5">
        <v>28</v>
      </c>
      <c r="J5" t="s">
        <v>28</v>
      </c>
      <c r="K5" t="s">
        <v>29</v>
      </c>
      <c r="L5" t="s">
        <v>30</v>
      </c>
    </row>
    <row r="6" spans="1:12" x14ac:dyDescent="0.3">
      <c r="A6">
        <v>1005</v>
      </c>
      <c r="B6" t="s">
        <v>36</v>
      </c>
      <c r="C6" t="s">
        <v>32</v>
      </c>
      <c r="D6" t="s">
        <v>37</v>
      </c>
      <c r="E6" t="s">
        <v>34</v>
      </c>
      <c r="F6" t="s">
        <v>38</v>
      </c>
      <c r="G6">
        <v>6</v>
      </c>
      <c r="H6">
        <v>921.52</v>
      </c>
      <c r="I6">
        <v>2</v>
      </c>
      <c r="J6" t="s">
        <v>39</v>
      </c>
      <c r="K6" t="s">
        <v>40</v>
      </c>
      <c r="L6" t="s">
        <v>30</v>
      </c>
    </row>
    <row r="7" spans="1:12" x14ac:dyDescent="0.3">
      <c r="A7">
        <v>1006</v>
      </c>
      <c r="B7" t="s">
        <v>41</v>
      </c>
      <c r="C7" t="s">
        <v>42</v>
      </c>
      <c r="D7" t="s">
        <v>43</v>
      </c>
      <c r="E7" t="s">
        <v>15</v>
      </c>
      <c r="F7" t="s">
        <v>44</v>
      </c>
      <c r="G7">
        <v>6</v>
      </c>
      <c r="H7">
        <v>2998.71</v>
      </c>
      <c r="I7">
        <v>16</v>
      </c>
      <c r="J7" t="s">
        <v>17</v>
      </c>
      <c r="K7" t="s">
        <v>29</v>
      </c>
      <c r="L7" t="s">
        <v>19</v>
      </c>
    </row>
    <row r="8" spans="1:12" x14ac:dyDescent="0.3">
      <c r="A8">
        <v>1007</v>
      </c>
      <c r="B8" t="s">
        <v>45</v>
      </c>
      <c r="C8" t="s">
        <v>46</v>
      </c>
      <c r="D8" t="s">
        <v>47</v>
      </c>
      <c r="E8" t="s">
        <v>34</v>
      </c>
      <c r="F8" t="s">
        <v>35</v>
      </c>
      <c r="G8">
        <v>9</v>
      </c>
      <c r="H8">
        <v>4852.4799999999996</v>
      </c>
      <c r="I8">
        <v>13</v>
      </c>
      <c r="J8" t="s">
        <v>39</v>
      </c>
      <c r="K8" t="s">
        <v>18</v>
      </c>
      <c r="L8" t="s">
        <v>48</v>
      </c>
    </row>
    <row r="9" spans="1:12" x14ac:dyDescent="0.3">
      <c r="A9">
        <v>1008</v>
      </c>
      <c r="B9" t="s">
        <v>49</v>
      </c>
      <c r="C9" t="s">
        <v>42</v>
      </c>
      <c r="D9" t="s">
        <v>22</v>
      </c>
      <c r="E9" t="s">
        <v>27</v>
      </c>
      <c r="F9" t="s">
        <v>23</v>
      </c>
      <c r="G9">
        <v>8</v>
      </c>
      <c r="H9">
        <v>1143.23</v>
      </c>
      <c r="I9">
        <v>5</v>
      </c>
      <c r="J9" t="s">
        <v>39</v>
      </c>
      <c r="K9" t="s">
        <v>29</v>
      </c>
      <c r="L9" t="s">
        <v>48</v>
      </c>
    </row>
    <row r="10" spans="1:12" x14ac:dyDescent="0.3">
      <c r="A10">
        <v>1009</v>
      </c>
      <c r="B10" t="s">
        <v>50</v>
      </c>
      <c r="C10" t="s">
        <v>32</v>
      </c>
      <c r="D10" t="s">
        <v>37</v>
      </c>
      <c r="E10" t="s">
        <v>34</v>
      </c>
      <c r="F10" t="s">
        <v>16</v>
      </c>
      <c r="G10">
        <v>7</v>
      </c>
      <c r="H10">
        <v>3547.75</v>
      </c>
      <c r="I10">
        <v>22</v>
      </c>
      <c r="J10" t="s">
        <v>17</v>
      </c>
      <c r="K10" t="s">
        <v>29</v>
      </c>
      <c r="L10" t="s">
        <v>48</v>
      </c>
    </row>
    <row r="11" spans="1:12" x14ac:dyDescent="0.3">
      <c r="A11">
        <v>1010</v>
      </c>
      <c r="B11" t="s">
        <v>51</v>
      </c>
      <c r="C11" t="s">
        <v>52</v>
      </c>
      <c r="D11" t="s">
        <v>33</v>
      </c>
      <c r="E11" t="s">
        <v>27</v>
      </c>
      <c r="F11" t="s">
        <v>35</v>
      </c>
      <c r="G11">
        <v>6</v>
      </c>
      <c r="H11">
        <v>297.75</v>
      </c>
      <c r="I11">
        <v>2</v>
      </c>
      <c r="J11" t="s">
        <v>39</v>
      </c>
      <c r="K11" t="s">
        <v>18</v>
      </c>
      <c r="L11" t="s">
        <v>19</v>
      </c>
    </row>
    <row r="12" spans="1:12" x14ac:dyDescent="0.3">
      <c r="A12">
        <v>1011</v>
      </c>
      <c r="B12" t="s">
        <v>53</v>
      </c>
      <c r="C12" t="s">
        <v>54</v>
      </c>
      <c r="D12" t="s">
        <v>47</v>
      </c>
      <c r="E12" t="s">
        <v>27</v>
      </c>
      <c r="F12" t="s">
        <v>44</v>
      </c>
      <c r="H12">
        <v>628.54</v>
      </c>
      <c r="I12">
        <v>7</v>
      </c>
      <c r="J12" t="s">
        <v>17</v>
      </c>
      <c r="K12" t="s">
        <v>29</v>
      </c>
      <c r="L12" t="s">
        <v>48</v>
      </c>
    </row>
    <row r="13" spans="1:12" x14ac:dyDescent="0.3">
      <c r="A13">
        <v>1012</v>
      </c>
      <c r="B13" t="s">
        <v>55</v>
      </c>
      <c r="C13" t="s">
        <v>21</v>
      </c>
      <c r="D13" t="s">
        <v>37</v>
      </c>
      <c r="E13" t="s">
        <v>34</v>
      </c>
      <c r="F13" t="s">
        <v>44</v>
      </c>
      <c r="G13">
        <v>1</v>
      </c>
      <c r="H13">
        <v>2532.25</v>
      </c>
      <c r="I13">
        <v>8</v>
      </c>
      <c r="J13" t="s">
        <v>28</v>
      </c>
      <c r="K13" t="s">
        <v>29</v>
      </c>
      <c r="L13" t="s">
        <v>30</v>
      </c>
    </row>
    <row r="14" spans="1:12" x14ac:dyDescent="0.3">
      <c r="A14">
        <v>1013</v>
      </c>
      <c r="B14" t="s">
        <v>56</v>
      </c>
      <c r="C14" t="s">
        <v>13</v>
      </c>
      <c r="D14" t="s">
        <v>33</v>
      </c>
      <c r="E14" t="s">
        <v>15</v>
      </c>
      <c r="F14" t="s">
        <v>38</v>
      </c>
      <c r="G14">
        <v>10</v>
      </c>
      <c r="H14">
        <v>1303.73</v>
      </c>
      <c r="I14">
        <v>26</v>
      </c>
      <c r="J14" t="s">
        <v>39</v>
      </c>
      <c r="K14" t="s">
        <v>40</v>
      </c>
      <c r="L14" t="s">
        <v>30</v>
      </c>
    </row>
    <row r="15" spans="1:12" x14ac:dyDescent="0.3">
      <c r="A15">
        <v>1014</v>
      </c>
      <c r="B15" t="s">
        <v>57</v>
      </c>
      <c r="C15" t="s">
        <v>46</v>
      </c>
      <c r="D15" t="s">
        <v>22</v>
      </c>
      <c r="E15" t="s">
        <v>34</v>
      </c>
      <c r="F15" t="s">
        <v>35</v>
      </c>
      <c r="G15">
        <v>9</v>
      </c>
      <c r="H15">
        <v>2756.25</v>
      </c>
      <c r="I15">
        <v>14</v>
      </c>
      <c r="J15" t="s">
        <v>17</v>
      </c>
      <c r="K15" t="s">
        <v>18</v>
      </c>
      <c r="L15" t="s">
        <v>30</v>
      </c>
    </row>
    <row r="16" spans="1:12" x14ac:dyDescent="0.3">
      <c r="A16">
        <v>1015</v>
      </c>
      <c r="B16" t="s">
        <v>58</v>
      </c>
      <c r="C16" t="s">
        <v>32</v>
      </c>
      <c r="D16" t="s">
        <v>47</v>
      </c>
      <c r="E16" t="s">
        <v>27</v>
      </c>
      <c r="F16" t="s">
        <v>38</v>
      </c>
      <c r="G16">
        <v>1</v>
      </c>
      <c r="H16">
        <v>737.07</v>
      </c>
      <c r="I16">
        <v>27</v>
      </c>
      <c r="J16" t="s">
        <v>28</v>
      </c>
      <c r="K16" t="s">
        <v>18</v>
      </c>
      <c r="L16" t="s">
        <v>48</v>
      </c>
    </row>
    <row r="17" spans="1:12" x14ac:dyDescent="0.3">
      <c r="A17">
        <v>1016</v>
      </c>
      <c r="B17" t="s">
        <v>59</v>
      </c>
      <c r="C17" t="s">
        <v>21</v>
      </c>
      <c r="D17" t="s">
        <v>47</v>
      </c>
      <c r="E17" t="s">
        <v>15</v>
      </c>
      <c r="F17" t="s">
        <v>23</v>
      </c>
      <c r="G17">
        <v>3</v>
      </c>
      <c r="H17" t="s">
        <v>60</v>
      </c>
      <c r="I17">
        <v>6</v>
      </c>
      <c r="J17" t="s">
        <v>24</v>
      </c>
      <c r="K17" t="s">
        <v>29</v>
      </c>
      <c r="L17" t="s">
        <v>19</v>
      </c>
    </row>
    <row r="18" spans="1:12" x14ac:dyDescent="0.3">
      <c r="A18">
        <v>1017</v>
      </c>
      <c r="B18" t="s">
        <v>61</v>
      </c>
      <c r="C18" t="s">
        <v>46</v>
      </c>
      <c r="D18" t="s">
        <v>33</v>
      </c>
      <c r="E18" t="s">
        <v>27</v>
      </c>
      <c r="F18" t="s">
        <v>62</v>
      </c>
      <c r="G18">
        <v>5</v>
      </c>
      <c r="H18">
        <v>3503.07</v>
      </c>
      <c r="I18">
        <v>2</v>
      </c>
      <c r="J18" t="s">
        <v>24</v>
      </c>
      <c r="K18" t="s">
        <v>29</v>
      </c>
      <c r="L18" t="s">
        <v>19</v>
      </c>
    </row>
    <row r="19" spans="1:12" x14ac:dyDescent="0.3">
      <c r="A19">
        <v>1018</v>
      </c>
      <c r="B19" t="s">
        <v>63</v>
      </c>
      <c r="C19" t="s">
        <v>54</v>
      </c>
      <c r="D19" t="s">
        <v>22</v>
      </c>
      <c r="E19" t="s">
        <v>34</v>
      </c>
      <c r="F19" t="s">
        <v>44</v>
      </c>
      <c r="G19">
        <v>4</v>
      </c>
      <c r="H19">
        <v>1357.51</v>
      </c>
      <c r="I19">
        <v>30</v>
      </c>
      <c r="J19" t="s">
        <v>24</v>
      </c>
      <c r="K19" t="s">
        <v>18</v>
      </c>
      <c r="L19" t="s">
        <v>19</v>
      </c>
    </row>
    <row r="20" spans="1:12" x14ac:dyDescent="0.3">
      <c r="A20">
        <v>1019</v>
      </c>
      <c r="B20" t="s">
        <v>64</v>
      </c>
      <c r="C20" t="s">
        <v>65</v>
      </c>
      <c r="D20" t="s">
        <v>47</v>
      </c>
      <c r="E20" t="s">
        <v>34</v>
      </c>
      <c r="F20" t="s">
        <v>44</v>
      </c>
      <c r="G20">
        <v>7</v>
      </c>
      <c r="H20">
        <v>562.97</v>
      </c>
      <c r="I20">
        <v>16</v>
      </c>
      <c r="J20" t="s">
        <v>28</v>
      </c>
      <c r="K20" t="s">
        <v>40</v>
      </c>
      <c r="L20" t="s">
        <v>19</v>
      </c>
    </row>
    <row r="21" spans="1:12" x14ac:dyDescent="0.3">
      <c r="A21">
        <v>1020</v>
      </c>
      <c r="B21" t="s">
        <v>66</v>
      </c>
      <c r="C21" t="s">
        <v>21</v>
      </c>
      <c r="D21" t="s">
        <v>22</v>
      </c>
      <c r="E21" t="s">
        <v>15</v>
      </c>
      <c r="F21" t="s">
        <v>44</v>
      </c>
      <c r="G21">
        <v>9</v>
      </c>
      <c r="H21">
        <v>3339.38</v>
      </c>
      <c r="I21">
        <v>5</v>
      </c>
      <c r="J21" t="s">
        <v>24</v>
      </c>
      <c r="K21" t="s">
        <v>29</v>
      </c>
      <c r="L21" t="s">
        <v>30</v>
      </c>
    </row>
    <row r="22" spans="1:12" x14ac:dyDescent="0.3">
      <c r="A22">
        <v>1021</v>
      </c>
      <c r="B22" t="s">
        <v>67</v>
      </c>
      <c r="C22" t="s">
        <v>21</v>
      </c>
      <c r="D22" t="s">
        <v>22</v>
      </c>
      <c r="E22" t="s">
        <v>27</v>
      </c>
      <c r="F22" t="s">
        <v>23</v>
      </c>
      <c r="G22">
        <v>9</v>
      </c>
      <c r="H22">
        <v>1753.74</v>
      </c>
      <c r="I22">
        <v>55</v>
      </c>
      <c r="J22" t="s">
        <v>28</v>
      </c>
      <c r="K22" t="s">
        <v>29</v>
      </c>
      <c r="L22" t="s">
        <v>48</v>
      </c>
    </row>
    <row r="23" spans="1:12" x14ac:dyDescent="0.3">
      <c r="A23">
        <v>1022</v>
      </c>
      <c r="B23" t="s">
        <v>58</v>
      </c>
      <c r="C23" t="s">
        <v>65</v>
      </c>
      <c r="D23" t="s">
        <v>22</v>
      </c>
      <c r="E23" t="s">
        <v>15</v>
      </c>
      <c r="F23" t="s">
        <v>44</v>
      </c>
      <c r="G23">
        <v>9</v>
      </c>
      <c r="H23">
        <v>852.15</v>
      </c>
      <c r="I23">
        <v>25</v>
      </c>
      <c r="J23" t="s">
        <v>24</v>
      </c>
      <c r="K23" t="s">
        <v>18</v>
      </c>
      <c r="L23" t="s">
        <v>30</v>
      </c>
    </row>
    <row r="24" spans="1:12" x14ac:dyDescent="0.3">
      <c r="A24">
        <v>1023</v>
      </c>
      <c r="B24" t="s">
        <v>68</v>
      </c>
      <c r="C24" t="s">
        <v>42</v>
      </c>
      <c r="D24" t="s">
        <v>14</v>
      </c>
      <c r="E24" t="s">
        <v>27</v>
      </c>
      <c r="F24" t="s">
        <v>44</v>
      </c>
      <c r="G24">
        <v>4</v>
      </c>
      <c r="H24">
        <v>3050.48</v>
      </c>
      <c r="I24">
        <v>2</v>
      </c>
      <c r="J24" t="s">
        <v>28</v>
      </c>
      <c r="K24" t="s">
        <v>40</v>
      </c>
      <c r="L24" t="s">
        <v>19</v>
      </c>
    </row>
    <row r="25" spans="1:12" x14ac:dyDescent="0.3">
      <c r="A25">
        <v>1024</v>
      </c>
      <c r="B25" t="s">
        <v>69</v>
      </c>
      <c r="C25" t="s">
        <v>21</v>
      </c>
      <c r="D25" t="s">
        <v>33</v>
      </c>
      <c r="E25" t="s">
        <v>15</v>
      </c>
      <c r="F25" t="s">
        <v>23</v>
      </c>
      <c r="G25">
        <v>9</v>
      </c>
      <c r="H25">
        <v>3830.38</v>
      </c>
      <c r="I25">
        <v>28</v>
      </c>
      <c r="J25" t="s">
        <v>39</v>
      </c>
      <c r="K25" t="s">
        <v>18</v>
      </c>
      <c r="L25" t="s">
        <v>19</v>
      </c>
    </row>
    <row r="26" spans="1:12" x14ac:dyDescent="0.3">
      <c r="A26">
        <v>1025</v>
      </c>
      <c r="B26" t="s">
        <v>70</v>
      </c>
      <c r="C26" t="s">
        <v>46</v>
      </c>
      <c r="D26" t="s">
        <v>14</v>
      </c>
      <c r="E26" t="s">
        <v>27</v>
      </c>
      <c r="F26" t="s">
        <v>23</v>
      </c>
      <c r="G26">
        <v>10</v>
      </c>
      <c r="H26">
        <v>4660.9399999999996</v>
      </c>
      <c r="I26">
        <v>18</v>
      </c>
      <c r="J26" t="s">
        <v>39</v>
      </c>
      <c r="K26" t="s">
        <v>40</v>
      </c>
      <c r="L26" t="s">
        <v>48</v>
      </c>
    </row>
    <row r="27" spans="1:12" x14ac:dyDescent="0.3">
      <c r="A27">
        <v>1026</v>
      </c>
      <c r="B27" t="s">
        <v>71</v>
      </c>
      <c r="C27" t="s">
        <v>65</v>
      </c>
      <c r="D27" t="s">
        <v>37</v>
      </c>
      <c r="E27" t="s">
        <v>27</v>
      </c>
      <c r="F27" t="s">
        <v>38</v>
      </c>
      <c r="G27">
        <v>7</v>
      </c>
      <c r="H27">
        <v>4760.38</v>
      </c>
      <c r="I27">
        <v>19</v>
      </c>
      <c r="J27" t="s">
        <v>24</v>
      </c>
      <c r="K27" t="s">
        <v>40</v>
      </c>
      <c r="L27" t="s">
        <v>48</v>
      </c>
    </row>
    <row r="28" spans="1:12" x14ac:dyDescent="0.3">
      <c r="A28">
        <v>1027</v>
      </c>
      <c r="B28" t="s">
        <v>36</v>
      </c>
      <c r="C28" t="s">
        <v>52</v>
      </c>
      <c r="D28" t="s">
        <v>33</v>
      </c>
      <c r="E28" t="s">
        <v>34</v>
      </c>
      <c r="F28" t="s">
        <v>62</v>
      </c>
      <c r="G28">
        <v>3</v>
      </c>
      <c r="H28">
        <v>2329.9699999999998</v>
      </c>
      <c r="I28">
        <v>13</v>
      </c>
      <c r="J28" t="s">
        <v>24</v>
      </c>
      <c r="K28" t="s">
        <v>40</v>
      </c>
      <c r="L28" t="s">
        <v>19</v>
      </c>
    </row>
    <row r="29" spans="1:12" x14ac:dyDescent="0.3">
      <c r="A29">
        <v>1028</v>
      </c>
      <c r="B29" t="s">
        <v>72</v>
      </c>
      <c r="C29" t="s">
        <v>32</v>
      </c>
      <c r="D29" t="s">
        <v>47</v>
      </c>
      <c r="E29" t="s">
        <v>34</v>
      </c>
      <c r="F29" t="s">
        <v>44</v>
      </c>
      <c r="G29">
        <v>1</v>
      </c>
      <c r="H29">
        <v>1577.36</v>
      </c>
      <c r="I29">
        <v>17</v>
      </c>
      <c r="J29" t="s">
        <v>24</v>
      </c>
      <c r="K29" t="s">
        <v>40</v>
      </c>
      <c r="L29" t="s">
        <v>30</v>
      </c>
    </row>
    <row r="30" spans="1:12" x14ac:dyDescent="0.3">
      <c r="A30">
        <v>1029</v>
      </c>
      <c r="B30" t="s">
        <v>73</v>
      </c>
      <c r="C30" t="s">
        <v>21</v>
      </c>
      <c r="D30" t="s">
        <v>22</v>
      </c>
      <c r="E30" t="s">
        <v>34</v>
      </c>
      <c r="F30" t="s">
        <v>16</v>
      </c>
      <c r="G30">
        <v>9</v>
      </c>
      <c r="H30">
        <v>1366.14</v>
      </c>
      <c r="I30">
        <v>24</v>
      </c>
      <c r="J30" t="s">
        <v>39</v>
      </c>
      <c r="K30" t="s">
        <v>40</v>
      </c>
      <c r="L30" t="s">
        <v>19</v>
      </c>
    </row>
    <row r="31" spans="1:12" x14ac:dyDescent="0.3">
      <c r="A31">
        <v>1030</v>
      </c>
      <c r="B31" t="s">
        <v>74</v>
      </c>
      <c r="C31" t="s">
        <v>54</v>
      </c>
      <c r="D31" t="s">
        <v>37</v>
      </c>
      <c r="E31" t="s">
        <v>27</v>
      </c>
      <c r="F31" t="s">
        <v>38</v>
      </c>
      <c r="G31">
        <v>3</v>
      </c>
      <c r="H31">
        <v>4500.57</v>
      </c>
      <c r="I31">
        <v>20</v>
      </c>
      <c r="J31" t="s">
        <v>28</v>
      </c>
      <c r="K31" t="s">
        <v>29</v>
      </c>
      <c r="L31" t="s">
        <v>48</v>
      </c>
    </row>
    <row r="32" spans="1:12" x14ac:dyDescent="0.3">
      <c r="A32">
        <v>1030</v>
      </c>
      <c r="B32" t="s">
        <v>74</v>
      </c>
      <c r="C32" t="s">
        <v>54</v>
      </c>
      <c r="D32" t="s">
        <v>37</v>
      </c>
      <c r="E32" t="s">
        <v>27</v>
      </c>
      <c r="F32" t="s">
        <v>38</v>
      </c>
      <c r="G32">
        <v>3</v>
      </c>
      <c r="H32">
        <v>4500.57</v>
      </c>
      <c r="I32">
        <v>20</v>
      </c>
      <c r="J32" t="s">
        <v>28</v>
      </c>
      <c r="K32" t="s">
        <v>29</v>
      </c>
      <c r="L32" t="s">
        <v>48</v>
      </c>
    </row>
    <row r="33" spans="1:12" x14ac:dyDescent="0.3">
      <c r="A33">
        <v>1032</v>
      </c>
      <c r="B33" t="s">
        <v>75</v>
      </c>
      <c r="C33" t="s">
        <v>52</v>
      </c>
      <c r="D33" t="s">
        <v>47</v>
      </c>
      <c r="E33" t="s">
        <v>27</v>
      </c>
      <c r="F33" t="s">
        <v>44</v>
      </c>
      <c r="G33">
        <v>3</v>
      </c>
      <c r="H33">
        <v>4694.22</v>
      </c>
      <c r="I33">
        <v>19</v>
      </c>
      <c r="J33" t="s">
        <v>24</v>
      </c>
      <c r="K33" t="s">
        <v>29</v>
      </c>
      <c r="L33" t="s">
        <v>48</v>
      </c>
    </row>
    <row r="34" spans="1:12" x14ac:dyDescent="0.3">
      <c r="A34">
        <v>1033</v>
      </c>
      <c r="B34" t="s">
        <v>76</v>
      </c>
      <c r="C34" t="s">
        <v>65</v>
      </c>
      <c r="D34" t="s">
        <v>37</v>
      </c>
      <c r="E34" t="s">
        <v>15</v>
      </c>
      <c r="F34" t="s">
        <v>35</v>
      </c>
      <c r="G34">
        <v>8</v>
      </c>
      <c r="H34">
        <v>1895.27</v>
      </c>
      <c r="I34">
        <v>12</v>
      </c>
      <c r="J34" t="s">
        <v>39</v>
      </c>
      <c r="K34" t="s">
        <v>29</v>
      </c>
      <c r="L34" t="s">
        <v>30</v>
      </c>
    </row>
    <row r="35" spans="1:12" x14ac:dyDescent="0.3">
      <c r="A35">
        <v>1034</v>
      </c>
      <c r="B35" t="s">
        <v>77</v>
      </c>
      <c r="C35" t="s">
        <v>65</v>
      </c>
      <c r="D35" t="s">
        <v>22</v>
      </c>
      <c r="E35" t="s">
        <v>27</v>
      </c>
      <c r="F35" t="s">
        <v>23</v>
      </c>
      <c r="G35">
        <v>9</v>
      </c>
      <c r="H35">
        <v>2876.4</v>
      </c>
      <c r="I35">
        <v>26</v>
      </c>
      <c r="J35" t="s">
        <v>17</v>
      </c>
      <c r="K35" t="s">
        <v>40</v>
      </c>
      <c r="L35" t="s">
        <v>48</v>
      </c>
    </row>
    <row r="36" spans="1:12" x14ac:dyDescent="0.3">
      <c r="A36">
        <v>1035</v>
      </c>
      <c r="B36" t="s">
        <v>78</v>
      </c>
      <c r="C36" t="s">
        <v>46</v>
      </c>
      <c r="D36" t="s">
        <v>47</v>
      </c>
      <c r="E36" t="s">
        <v>27</v>
      </c>
      <c r="F36" t="s">
        <v>23</v>
      </c>
      <c r="G36">
        <v>10</v>
      </c>
      <c r="H36">
        <v>1190.81</v>
      </c>
      <c r="I36">
        <v>25</v>
      </c>
      <c r="J36" t="s">
        <v>17</v>
      </c>
      <c r="K36" t="s">
        <v>29</v>
      </c>
      <c r="L36" t="s">
        <v>19</v>
      </c>
    </row>
    <row r="37" spans="1:12" x14ac:dyDescent="0.3">
      <c r="A37">
        <v>1036</v>
      </c>
      <c r="B37" t="s">
        <v>79</v>
      </c>
      <c r="C37" t="s">
        <v>54</v>
      </c>
      <c r="D37" t="s">
        <v>22</v>
      </c>
      <c r="E37" t="s">
        <v>15</v>
      </c>
      <c r="F37" t="s">
        <v>16</v>
      </c>
      <c r="G37">
        <v>9</v>
      </c>
      <c r="H37">
        <v>4719.7700000000004</v>
      </c>
      <c r="I37">
        <v>11</v>
      </c>
      <c r="J37" t="s">
        <v>24</v>
      </c>
      <c r="K37" t="s">
        <v>80</v>
      </c>
      <c r="L37" t="s">
        <v>48</v>
      </c>
    </row>
    <row r="38" spans="1:12" x14ac:dyDescent="0.3">
      <c r="A38">
        <v>1037</v>
      </c>
      <c r="B38" t="s">
        <v>81</v>
      </c>
      <c r="C38" t="s">
        <v>21</v>
      </c>
      <c r="D38" t="s">
        <v>22</v>
      </c>
      <c r="E38" t="s">
        <v>15</v>
      </c>
      <c r="F38" t="s">
        <v>23</v>
      </c>
      <c r="G38">
        <v>5</v>
      </c>
      <c r="H38">
        <v>3655.02</v>
      </c>
      <c r="I38">
        <v>11</v>
      </c>
      <c r="J38" t="s">
        <v>24</v>
      </c>
      <c r="K38" t="s">
        <v>40</v>
      </c>
      <c r="L38" t="s">
        <v>30</v>
      </c>
    </row>
    <row r="39" spans="1:12" x14ac:dyDescent="0.3">
      <c r="A39">
        <v>1038</v>
      </c>
      <c r="B39" t="s">
        <v>78</v>
      </c>
      <c r="C39" t="s">
        <v>46</v>
      </c>
      <c r="D39" t="s">
        <v>47</v>
      </c>
      <c r="E39" t="s">
        <v>15</v>
      </c>
      <c r="F39" t="s">
        <v>62</v>
      </c>
      <c r="G39">
        <v>5</v>
      </c>
      <c r="H39">
        <v>2771.53</v>
      </c>
      <c r="I39">
        <v>18</v>
      </c>
      <c r="J39" t="s">
        <v>24</v>
      </c>
      <c r="K39" t="s">
        <v>29</v>
      </c>
      <c r="L39" t="s">
        <v>48</v>
      </c>
    </row>
    <row r="40" spans="1:12" x14ac:dyDescent="0.3">
      <c r="A40">
        <v>1039</v>
      </c>
      <c r="B40" t="s">
        <v>82</v>
      </c>
      <c r="C40" t="s">
        <v>21</v>
      </c>
      <c r="D40" t="s">
        <v>37</v>
      </c>
      <c r="E40" t="s">
        <v>15</v>
      </c>
      <c r="F40" t="s">
        <v>44</v>
      </c>
      <c r="G40">
        <v>4</v>
      </c>
      <c r="H40">
        <v>4403.42</v>
      </c>
      <c r="I40">
        <v>28</v>
      </c>
      <c r="J40" t="s">
        <v>28</v>
      </c>
      <c r="K40" t="s">
        <v>18</v>
      </c>
      <c r="L40" t="s">
        <v>48</v>
      </c>
    </row>
    <row r="41" spans="1:12" x14ac:dyDescent="0.3">
      <c r="A41">
        <v>1040</v>
      </c>
      <c r="B41" t="s">
        <v>83</v>
      </c>
      <c r="C41" t="s">
        <v>65</v>
      </c>
      <c r="D41" t="s">
        <v>37</v>
      </c>
      <c r="E41" t="s">
        <v>15</v>
      </c>
      <c r="F41" t="s">
        <v>23</v>
      </c>
      <c r="G41">
        <v>9</v>
      </c>
      <c r="H41">
        <v>3931.63</v>
      </c>
      <c r="I41">
        <v>5</v>
      </c>
      <c r="J41" t="s">
        <v>17</v>
      </c>
      <c r="K41" t="s">
        <v>40</v>
      </c>
      <c r="L41" t="s">
        <v>30</v>
      </c>
    </row>
    <row r="42" spans="1:12" x14ac:dyDescent="0.3">
      <c r="A42">
        <v>1041</v>
      </c>
      <c r="B42" t="s">
        <v>84</v>
      </c>
      <c r="C42" t="s">
        <v>32</v>
      </c>
      <c r="D42" t="s">
        <v>33</v>
      </c>
      <c r="E42" t="s">
        <v>15</v>
      </c>
      <c r="F42" t="s">
        <v>38</v>
      </c>
      <c r="G42">
        <v>10</v>
      </c>
      <c r="H42">
        <v>981.82</v>
      </c>
      <c r="I42">
        <v>13</v>
      </c>
      <c r="J42" t="s">
        <v>24</v>
      </c>
      <c r="K42" t="s">
        <v>29</v>
      </c>
      <c r="L42" t="s">
        <v>85</v>
      </c>
    </row>
    <row r="43" spans="1:12" x14ac:dyDescent="0.3">
      <c r="A43">
        <v>1042</v>
      </c>
      <c r="B43" t="s">
        <v>86</v>
      </c>
      <c r="C43" t="s">
        <v>13</v>
      </c>
      <c r="D43" t="s">
        <v>37</v>
      </c>
      <c r="E43" t="s">
        <v>34</v>
      </c>
      <c r="F43" t="s">
        <v>44</v>
      </c>
      <c r="G43">
        <v>4</v>
      </c>
      <c r="H43">
        <v>4355.33</v>
      </c>
      <c r="I43">
        <v>14</v>
      </c>
      <c r="J43" t="s">
        <v>39</v>
      </c>
      <c r="K43" t="s">
        <v>29</v>
      </c>
      <c r="L43" t="s">
        <v>48</v>
      </c>
    </row>
    <row r="44" spans="1:12" x14ac:dyDescent="0.3">
      <c r="A44">
        <v>1043</v>
      </c>
      <c r="B44" t="s">
        <v>83</v>
      </c>
      <c r="C44" t="s">
        <v>21</v>
      </c>
      <c r="D44" t="s">
        <v>14</v>
      </c>
      <c r="E44" t="s">
        <v>27</v>
      </c>
      <c r="F44" t="s">
        <v>62</v>
      </c>
      <c r="G44">
        <v>8</v>
      </c>
      <c r="H44">
        <v>175.04</v>
      </c>
      <c r="I44">
        <v>21</v>
      </c>
      <c r="J44" t="s">
        <v>17</v>
      </c>
      <c r="K44" t="s">
        <v>40</v>
      </c>
      <c r="L44" t="s">
        <v>19</v>
      </c>
    </row>
    <row r="45" spans="1:12" x14ac:dyDescent="0.3">
      <c r="A45">
        <v>1044</v>
      </c>
      <c r="B45" t="s">
        <v>87</v>
      </c>
      <c r="C45" t="s">
        <v>65</v>
      </c>
      <c r="D45" t="s">
        <v>37</v>
      </c>
      <c r="E45" t="s">
        <v>34</v>
      </c>
      <c r="F45" t="s">
        <v>35</v>
      </c>
      <c r="G45">
        <v>3</v>
      </c>
      <c r="H45">
        <v>1210.94</v>
      </c>
      <c r="I45">
        <v>25</v>
      </c>
      <c r="J45" t="s">
        <v>24</v>
      </c>
      <c r="K45" t="s">
        <v>40</v>
      </c>
      <c r="L45" t="s">
        <v>19</v>
      </c>
    </row>
    <row r="46" spans="1:12" x14ac:dyDescent="0.3">
      <c r="A46">
        <v>1045</v>
      </c>
      <c r="B46" t="s">
        <v>88</v>
      </c>
      <c r="C46" t="s">
        <v>54</v>
      </c>
      <c r="D46" t="s">
        <v>14</v>
      </c>
      <c r="E46" t="s">
        <v>27</v>
      </c>
      <c r="F46" t="s">
        <v>16</v>
      </c>
      <c r="G46">
        <v>3</v>
      </c>
      <c r="H46">
        <v>2638.27</v>
      </c>
      <c r="I46">
        <v>14</v>
      </c>
      <c r="J46" t="s">
        <v>17</v>
      </c>
      <c r="K46" t="s">
        <v>18</v>
      </c>
      <c r="L46" t="s">
        <v>30</v>
      </c>
    </row>
    <row r="47" spans="1:12" x14ac:dyDescent="0.3">
      <c r="A47">
        <v>1046</v>
      </c>
      <c r="B47" t="s">
        <v>86</v>
      </c>
      <c r="C47" t="s">
        <v>32</v>
      </c>
      <c r="D47" t="s">
        <v>22</v>
      </c>
      <c r="E47" t="s">
        <v>34</v>
      </c>
      <c r="G47">
        <v>10</v>
      </c>
      <c r="H47">
        <v>4480.5</v>
      </c>
      <c r="I47">
        <v>25</v>
      </c>
      <c r="J47" t="s">
        <v>39</v>
      </c>
      <c r="K47" t="s">
        <v>29</v>
      </c>
      <c r="L47" t="s">
        <v>30</v>
      </c>
    </row>
    <row r="48" spans="1:12" x14ac:dyDescent="0.3">
      <c r="A48">
        <v>1047</v>
      </c>
      <c r="B48" t="s">
        <v>89</v>
      </c>
      <c r="C48" t="s">
        <v>54</v>
      </c>
      <c r="D48" t="s">
        <v>33</v>
      </c>
      <c r="E48" t="s">
        <v>15</v>
      </c>
      <c r="F48" t="s">
        <v>35</v>
      </c>
      <c r="G48">
        <v>1</v>
      </c>
      <c r="H48">
        <v>2496.4</v>
      </c>
      <c r="I48">
        <v>21</v>
      </c>
      <c r="J48" t="s">
        <v>24</v>
      </c>
      <c r="K48" t="s">
        <v>40</v>
      </c>
      <c r="L48" t="s">
        <v>48</v>
      </c>
    </row>
    <row r="49" spans="1:12" x14ac:dyDescent="0.3">
      <c r="A49">
        <v>1048</v>
      </c>
      <c r="B49" t="s">
        <v>90</v>
      </c>
      <c r="C49" t="s">
        <v>32</v>
      </c>
      <c r="D49" t="s">
        <v>37</v>
      </c>
      <c r="E49" t="s">
        <v>15</v>
      </c>
      <c r="F49" t="s">
        <v>44</v>
      </c>
      <c r="G49">
        <v>2</v>
      </c>
      <c r="H49">
        <v>1143.98</v>
      </c>
      <c r="I49">
        <v>16</v>
      </c>
      <c r="J49" t="s">
        <v>17</v>
      </c>
      <c r="K49" t="s">
        <v>29</v>
      </c>
      <c r="L49" t="s">
        <v>48</v>
      </c>
    </row>
    <row r="50" spans="1:12" x14ac:dyDescent="0.3">
      <c r="A50">
        <v>1049</v>
      </c>
      <c r="B50" t="s">
        <v>91</v>
      </c>
      <c r="C50" t="s">
        <v>32</v>
      </c>
      <c r="D50" t="s">
        <v>37</v>
      </c>
      <c r="E50" t="s">
        <v>34</v>
      </c>
      <c r="F50" t="s">
        <v>38</v>
      </c>
      <c r="G50">
        <v>8</v>
      </c>
      <c r="H50">
        <v>2288.19</v>
      </c>
      <c r="I50">
        <v>7</v>
      </c>
      <c r="J50" t="s">
        <v>24</v>
      </c>
      <c r="K50" t="s">
        <v>29</v>
      </c>
      <c r="L50" t="s">
        <v>19</v>
      </c>
    </row>
    <row r="51" spans="1:12" x14ac:dyDescent="0.3">
      <c r="A51">
        <v>1050</v>
      </c>
      <c r="B51" t="s">
        <v>92</v>
      </c>
      <c r="C51" t="s">
        <v>54</v>
      </c>
      <c r="D51" t="s">
        <v>47</v>
      </c>
      <c r="E51" t="s">
        <v>34</v>
      </c>
      <c r="F51" t="s">
        <v>38</v>
      </c>
      <c r="G51">
        <v>4</v>
      </c>
      <c r="H51">
        <v>1334.37</v>
      </c>
      <c r="I51">
        <v>4</v>
      </c>
      <c r="J51" t="s">
        <v>28</v>
      </c>
      <c r="K51" t="s">
        <v>29</v>
      </c>
      <c r="L51" t="s">
        <v>30</v>
      </c>
    </row>
    <row r="52" spans="1:12" x14ac:dyDescent="0.3">
      <c r="A52">
        <v>1051</v>
      </c>
      <c r="B52" t="s">
        <v>93</v>
      </c>
      <c r="C52" t="s">
        <v>32</v>
      </c>
      <c r="D52" t="s">
        <v>47</v>
      </c>
      <c r="E52" t="s">
        <v>34</v>
      </c>
      <c r="F52" t="s">
        <v>62</v>
      </c>
      <c r="G52">
        <v>-3</v>
      </c>
      <c r="H52">
        <v>3625.5</v>
      </c>
      <c r="I52">
        <v>15</v>
      </c>
      <c r="J52" t="s">
        <v>17</v>
      </c>
      <c r="K52" t="s">
        <v>40</v>
      </c>
      <c r="L52" t="s">
        <v>48</v>
      </c>
    </row>
    <row r="53" spans="1:12" x14ac:dyDescent="0.3">
      <c r="A53">
        <v>1052</v>
      </c>
      <c r="B53" t="s">
        <v>94</v>
      </c>
      <c r="C53" t="s">
        <v>46</v>
      </c>
      <c r="D53" t="s">
        <v>33</v>
      </c>
      <c r="E53" t="s">
        <v>34</v>
      </c>
      <c r="F53" t="s">
        <v>35</v>
      </c>
      <c r="G53">
        <v>2</v>
      </c>
      <c r="H53">
        <v>2199.11</v>
      </c>
      <c r="I53">
        <v>17</v>
      </c>
      <c r="J53" t="s">
        <v>17</v>
      </c>
      <c r="K53" t="s">
        <v>29</v>
      </c>
      <c r="L53" t="s">
        <v>30</v>
      </c>
    </row>
    <row r="54" spans="1:12" x14ac:dyDescent="0.3">
      <c r="A54">
        <v>1053</v>
      </c>
      <c r="B54" t="s">
        <v>95</v>
      </c>
      <c r="C54" t="s">
        <v>32</v>
      </c>
      <c r="D54" t="s">
        <v>22</v>
      </c>
      <c r="E54" t="s">
        <v>34</v>
      </c>
      <c r="F54" t="s">
        <v>44</v>
      </c>
      <c r="G54">
        <v>1</v>
      </c>
      <c r="H54">
        <v>1868.16</v>
      </c>
      <c r="I54">
        <v>8</v>
      </c>
      <c r="J54" t="s">
        <v>17</v>
      </c>
      <c r="K54" t="s">
        <v>18</v>
      </c>
      <c r="L54" t="s">
        <v>48</v>
      </c>
    </row>
    <row r="55" spans="1:12" x14ac:dyDescent="0.3">
      <c r="A55">
        <v>1054</v>
      </c>
      <c r="B55" t="s">
        <v>96</v>
      </c>
      <c r="C55" t="s">
        <v>32</v>
      </c>
      <c r="D55" t="s">
        <v>37</v>
      </c>
      <c r="E55" t="s">
        <v>15</v>
      </c>
      <c r="F55" t="s">
        <v>23</v>
      </c>
      <c r="G55">
        <v>5</v>
      </c>
      <c r="H55">
        <v>3178.88</v>
      </c>
      <c r="I55">
        <v>3</v>
      </c>
      <c r="J55" t="s">
        <v>28</v>
      </c>
      <c r="K55" t="s">
        <v>40</v>
      </c>
      <c r="L55" t="s">
        <v>48</v>
      </c>
    </row>
    <row r="56" spans="1:12" x14ac:dyDescent="0.3">
      <c r="A56">
        <v>1055</v>
      </c>
      <c r="B56" t="s">
        <v>97</v>
      </c>
      <c r="C56" t="s">
        <v>65</v>
      </c>
      <c r="D56" t="s">
        <v>22</v>
      </c>
      <c r="E56" t="s">
        <v>15</v>
      </c>
      <c r="F56" t="s">
        <v>23</v>
      </c>
      <c r="G56">
        <v>10</v>
      </c>
      <c r="H56">
        <v>2951.14</v>
      </c>
      <c r="I56">
        <v>17</v>
      </c>
      <c r="J56" t="s">
        <v>24</v>
      </c>
      <c r="K56" t="s">
        <v>40</v>
      </c>
      <c r="L56" t="s">
        <v>19</v>
      </c>
    </row>
    <row r="57" spans="1:12" x14ac:dyDescent="0.3">
      <c r="A57">
        <v>1056</v>
      </c>
      <c r="B57" t="s">
        <v>98</v>
      </c>
      <c r="C57" t="s">
        <v>52</v>
      </c>
      <c r="D57" t="s">
        <v>47</v>
      </c>
      <c r="E57" t="s">
        <v>34</v>
      </c>
      <c r="F57" t="s">
        <v>62</v>
      </c>
      <c r="G57">
        <v>7</v>
      </c>
      <c r="H57">
        <v>3984.12</v>
      </c>
      <c r="I57">
        <v>4</v>
      </c>
      <c r="J57" t="s">
        <v>28</v>
      </c>
      <c r="K57" t="s">
        <v>18</v>
      </c>
      <c r="L57" t="s">
        <v>30</v>
      </c>
    </row>
    <row r="58" spans="1:12" x14ac:dyDescent="0.3">
      <c r="A58">
        <v>1057</v>
      </c>
      <c r="B58" t="s">
        <v>99</v>
      </c>
      <c r="C58" t="s">
        <v>52</v>
      </c>
      <c r="D58" t="s">
        <v>37</v>
      </c>
      <c r="E58" t="s">
        <v>15</v>
      </c>
      <c r="F58" t="s">
        <v>35</v>
      </c>
      <c r="G58">
        <v>7</v>
      </c>
      <c r="H58">
        <v>2052.04</v>
      </c>
      <c r="I58">
        <v>9</v>
      </c>
      <c r="J58" t="s">
        <v>17</v>
      </c>
      <c r="K58" t="s">
        <v>18</v>
      </c>
      <c r="L58" t="s">
        <v>48</v>
      </c>
    </row>
    <row r="59" spans="1:12" x14ac:dyDescent="0.3">
      <c r="A59">
        <v>1058</v>
      </c>
      <c r="B59" t="s">
        <v>100</v>
      </c>
      <c r="C59" t="s">
        <v>32</v>
      </c>
      <c r="D59" t="s">
        <v>14</v>
      </c>
      <c r="E59" t="s">
        <v>27</v>
      </c>
      <c r="F59" t="s">
        <v>35</v>
      </c>
      <c r="G59">
        <v>3</v>
      </c>
      <c r="H59">
        <v>1928.09</v>
      </c>
      <c r="I59">
        <v>13</v>
      </c>
      <c r="J59" t="s">
        <v>39</v>
      </c>
      <c r="K59" t="s">
        <v>18</v>
      </c>
      <c r="L59" t="s">
        <v>30</v>
      </c>
    </row>
    <row r="60" spans="1:12" x14ac:dyDescent="0.3">
      <c r="A60">
        <v>1059</v>
      </c>
      <c r="B60" t="s">
        <v>101</v>
      </c>
      <c r="C60" t="s">
        <v>42</v>
      </c>
      <c r="D60" t="s">
        <v>47</v>
      </c>
      <c r="E60" t="s">
        <v>34</v>
      </c>
      <c r="F60" t="s">
        <v>62</v>
      </c>
      <c r="G60">
        <v>9</v>
      </c>
      <c r="H60">
        <v>4541.4399999999996</v>
      </c>
      <c r="I60">
        <v>23</v>
      </c>
      <c r="J60" t="s">
        <v>17</v>
      </c>
      <c r="K60" t="s">
        <v>18</v>
      </c>
      <c r="L60" t="s">
        <v>19</v>
      </c>
    </row>
    <row r="61" spans="1:12" x14ac:dyDescent="0.3">
      <c r="A61">
        <v>1060</v>
      </c>
      <c r="B61" t="s">
        <v>94</v>
      </c>
      <c r="C61" t="s">
        <v>46</v>
      </c>
      <c r="D61" t="s">
        <v>14</v>
      </c>
      <c r="E61" t="s">
        <v>15</v>
      </c>
      <c r="F61" t="s">
        <v>35</v>
      </c>
      <c r="G61">
        <v>10</v>
      </c>
      <c r="H61">
        <v>4000.08</v>
      </c>
      <c r="I61">
        <v>22</v>
      </c>
      <c r="J61" t="s">
        <v>28</v>
      </c>
      <c r="K61" t="s">
        <v>18</v>
      </c>
      <c r="L61" t="s">
        <v>30</v>
      </c>
    </row>
    <row r="62" spans="1:12" x14ac:dyDescent="0.3">
      <c r="A62">
        <v>1061</v>
      </c>
      <c r="B62" t="s">
        <v>102</v>
      </c>
      <c r="C62" t="s">
        <v>52</v>
      </c>
      <c r="D62" t="s">
        <v>14</v>
      </c>
      <c r="E62" t="s">
        <v>34</v>
      </c>
      <c r="F62" t="s">
        <v>62</v>
      </c>
      <c r="G62">
        <v>1</v>
      </c>
      <c r="H62" t="s">
        <v>103</v>
      </c>
      <c r="I62">
        <v>16</v>
      </c>
      <c r="J62" t="s">
        <v>28</v>
      </c>
      <c r="K62" t="s">
        <v>40</v>
      </c>
      <c r="L62" t="s">
        <v>48</v>
      </c>
    </row>
    <row r="63" spans="1:12" x14ac:dyDescent="0.3">
      <c r="A63">
        <v>1062</v>
      </c>
      <c r="B63" t="s">
        <v>104</v>
      </c>
      <c r="C63" t="s">
        <v>65</v>
      </c>
      <c r="D63" t="s">
        <v>22</v>
      </c>
      <c r="E63" t="s">
        <v>15</v>
      </c>
      <c r="F63" t="s">
        <v>38</v>
      </c>
      <c r="G63">
        <v>7</v>
      </c>
      <c r="H63">
        <v>577.53</v>
      </c>
      <c r="I63">
        <v>15</v>
      </c>
      <c r="J63" t="s">
        <v>39</v>
      </c>
      <c r="K63" t="s">
        <v>18</v>
      </c>
      <c r="L63" t="s">
        <v>19</v>
      </c>
    </row>
    <row r="64" spans="1:12" x14ac:dyDescent="0.3">
      <c r="A64">
        <v>1063</v>
      </c>
      <c r="B64" t="s">
        <v>105</v>
      </c>
      <c r="C64" t="s">
        <v>21</v>
      </c>
      <c r="D64" t="s">
        <v>47</v>
      </c>
      <c r="E64" t="s">
        <v>15</v>
      </c>
      <c r="F64" t="s">
        <v>62</v>
      </c>
      <c r="G64">
        <v>5</v>
      </c>
      <c r="H64">
        <v>1141.8</v>
      </c>
      <c r="I64">
        <v>9</v>
      </c>
      <c r="J64" t="s">
        <v>24</v>
      </c>
      <c r="K64" t="s">
        <v>18</v>
      </c>
      <c r="L64" t="s">
        <v>48</v>
      </c>
    </row>
    <row r="65" spans="1:12" x14ac:dyDescent="0.3">
      <c r="A65">
        <v>1064</v>
      </c>
      <c r="B65" t="s">
        <v>106</v>
      </c>
      <c r="C65" t="s">
        <v>32</v>
      </c>
      <c r="D65" t="s">
        <v>47</v>
      </c>
      <c r="E65" t="s">
        <v>34</v>
      </c>
      <c r="F65" t="s">
        <v>23</v>
      </c>
      <c r="G65">
        <v>2</v>
      </c>
      <c r="H65">
        <v>4428.78</v>
      </c>
      <c r="I65">
        <v>17</v>
      </c>
      <c r="J65" t="s">
        <v>39</v>
      </c>
      <c r="K65" t="s">
        <v>40</v>
      </c>
      <c r="L65" t="s">
        <v>48</v>
      </c>
    </row>
    <row r="66" spans="1:12" x14ac:dyDescent="0.3">
      <c r="A66">
        <v>1065</v>
      </c>
      <c r="B66" t="s">
        <v>107</v>
      </c>
      <c r="C66" t="s">
        <v>46</v>
      </c>
      <c r="D66" t="s">
        <v>22</v>
      </c>
      <c r="E66" t="s">
        <v>27</v>
      </c>
      <c r="F66" t="s">
        <v>44</v>
      </c>
      <c r="G66">
        <v>4</v>
      </c>
      <c r="H66">
        <v>4307.3500000000004</v>
      </c>
      <c r="I66">
        <v>30</v>
      </c>
      <c r="J66" t="s">
        <v>28</v>
      </c>
      <c r="K66" t="s">
        <v>29</v>
      </c>
      <c r="L66" t="s">
        <v>19</v>
      </c>
    </row>
    <row r="67" spans="1:12" x14ac:dyDescent="0.3">
      <c r="A67">
        <v>1066</v>
      </c>
      <c r="B67" t="s">
        <v>108</v>
      </c>
      <c r="C67" t="s">
        <v>32</v>
      </c>
      <c r="D67" t="s">
        <v>47</v>
      </c>
      <c r="E67" t="s">
        <v>15</v>
      </c>
      <c r="F67" t="s">
        <v>16</v>
      </c>
      <c r="G67">
        <v>9</v>
      </c>
      <c r="H67">
        <v>3094.86</v>
      </c>
      <c r="I67">
        <v>28</v>
      </c>
      <c r="J67" t="s">
        <v>24</v>
      </c>
      <c r="K67" t="s">
        <v>40</v>
      </c>
      <c r="L67" t="s">
        <v>30</v>
      </c>
    </row>
    <row r="68" spans="1:12" x14ac:dyDescent="0.3">
      <c r="A68">
        <v>1067</v>
      </c>
      <c r="B68" t="s">
        <v>109</v>
      </c>
      <c r="C68" t="s">
        <v>13</v>
      </c>
      <c r="D68" t="s">
        <v>14</v>
      </c>
      <c r="E68" t="s">
        <v>15</v>
      </c>
      <c r="F68" t="s">
        <v>44</v>
      </c>
      <c r="G68">
        <v>5</v>
      </c>
      <c r="H68">
        <v>3978.25</v>
      </c>
      <c r="I68">
        <v>4</v>
      </c>
      <c r="J68" t="s">
        <v>24</v>
      </c>
      <c r="K68" t="s">
        <v>29</v>
      </c>
      <c r="L68" t="s">
        <v>48</v>
      </c>
    </row>
    <row r="69" spans="1:12" x14ac:dyDescent="0.3">
      <c r="A69">
        <v>1068</v>
      </c>
      <c r="B69" t="s">
        <v>110</v>
      </c>
      <c r="C69" t="s">
        <v>65</v>
      </c>
      <c r="D69" t="s">
        <v>14</v>
      </c>
      <c r="E69" t="s">
        <v>15</v>
      </c>
      <c r="F69" t="s">
        <v>38</v>
      </c>
      <c r="G69">
        <v>3</v>
      </c>
      <c r="H69">
        <v>3624.28</v>
      </c>
      <c r="I69">
        <v>12</v>
      </c>
      <c r="J69" t="s">
        <v>24</v>
      </c>
      <c r="K69" t="s">
        <v>18</v>
      </c>
      <c r="L69" t="s">
        <v>19</v>
      </c>
    </row>
    <row r="70" spans="1:12" x14ac:dyDescent="0.3">
      <c r="A70">
        <v>1069</v>
      </c>
      <c r="B70" t="s">
        <v>101</v>
      </c>
      <c r="C70" t="s">
        <v>46</v>
      </c>
      <c r="D70" t="s">
        <v>47</v>
      </c>
      <c r="E70" t="s">
        <v>34</v>
      </c>
      <c r="F70" t="s">
        <v>44</v>
      </c>
      <c r="G70">
        <v>5</v>
      </c>
      <c r="H70">
        <v>1345.67</v>
      </c>
      <c r="I70">
        <v>13</v>
      </c>
      <c r="J70" t="s">
        <v>17</v>
      </c>
      <c r="K70" t="s">
        <v>18</v>
      </c>
      <c r="L70" t="s">
        <v>30</v>
      </c>
    </row>
    <row r="71" spans="1:12" x14ac:dyDescent="0.3">
      <c r="A71">
        <v>1070</v>
      </c>
      <c r="B71" t="s">
        <v>111</v>
      </c>
      <c r="C71" t="s">
        <v>13</v>
      </c>
      <c r="D71" t="s">
        <v>47</v>
      </c>
      <c r="E71" t="s">
        <v>15</v>
      </c>
      <c r="F71" t="s">
        <v>23</v>
      </c>
      <c r="G71">
        <v>2</v>
      </c>
      <c r="H71">
        <v>2931.39</v>
      </c>
      <c r="I71">
        <v>0</v>
      </c>
      <c r="J71" t="s">
        <v>24</v>
      </c>
      <c r="K71" t="s">
        <v>18</v>
      </c>
      <c r="L71" t="s">
        <v>30</v>
      </c>
    </row>
    <row r="72" spans="1:12" x14ac:dyDescent="0.3">
      <c r="A72">
        <v>1071</v>
      </c>
      <c r="B72" t="s">
        <v>112</v>
      </c>
      <c r="C72" t="s">
        <v>46</v>
      </c>
      <c r="D72" t="s">
        <v>22</v>
      </c>
      <c r="E72" t="s">
        <v>113</v>
      </c>
      <c r="F72" t="s">
        <v>38</v>
      </c>
      <c r="G72">
        <v>2</v>
      </c>
      <c r="H72">
        <v>4641.54</v>
      </c>
      <c r="I72">
        <v>26</v>
      </c>
      <c r="J72" t="s">
        <v>17</v>
      </c>
      <c r="K72" t="s">
        <v>18</v>
      </c>
      <c r="L72" t="s">
        <v>19</v>
      </c>
    </row>
    <row r="73" spans="1:12" x14ac:dyDescent="0.3">
      <c r="A73">
        <v>1072</v>
      </c>
      <c r="B73" t="s">
        <v>114</v>
      </c>
      <c r="C73" t="s">
        <v>54</v>
      </c>
      <c r="D73" t="s">
        <v>14</v>
      </c>
      <c r="E73" t="s">
        <v>34</v>
      </c>
      <c r="F73" t="s">
        <v>44</v>
      </c>
      <c r="G73">
        <v>9</v>
      </c>
      <c r="H73">
        <v>3808.2</v>
      </c>
      <c r="I73">
        <v>21</v>
      </c>
      <c r="J73" t="s">
        <v>39</v>
      </c>
      <c r="K73" t="s">
        <v>29</v>
      </c>
      <c r="L73" t="s">
        <v>30</v>
      </c>
    </row>
    <row r="74" spans="1:12" x14ac:dyDescent="0.3">
      <c r="A74">
        <v>1073</v>
      </c>
      <c r="B74" t="s">
        <v>115</v>
      </c>
      <c r="C74" t="s">
        <v>32</v>
      </c>
      <c r="D74" t="s">
        <v>22</v>
      </c>
      <c r="E74" t="s">
        <v>27</v>
      </c>
      <c r="F74" t="s">
        <v>62</v>
      </c>
      <c r="G74">
        <v>8</v>
      </c>
      <c r="H74">
        <v>2287.14</v>
      </c>
      <c r="I74">
        <v>20</v>
      </c>
      <c r="J74" t="s">
        <v>24</v>
      </c>
      <c r="K74" t="s">
        <v>18</v>
      </c>
      <c r="L74" t="s">
        <v>30</v>
      </c>
    </row>
    <row r="75" spans="1:12" x14ac:dyDescent="0.3">
      <c r="A75">
        <v>1074</v>
      </c>
      <c r="B75" t="s">
        <v>116</v>
      </c>
      <c r="C75" t="s">
        <v>46</v>
      </c>
      <c r="D75" t="s">
        <v>22</v>
      </c>
      <c r="E75" t="s">
        <v>15</v>
      </c>
      <c r="F75" t="s">
        <v>16</v>
      </c>
      <c r="G75">
        <v>4</v>
      </c>
      <c r="H75">
        <v>3923.96</v>
      </c>
      <c r="I75">
        <v>24</v>
      </c>
      <c r="J75" t="s">
        <v>39</v>
      </c>
      <c r="K75" t="s">
        <v>18</v>
      </c>
      <c r="L75" t="s">
        <v>19</v>
      </c>
    </row>
    <row r="76" spans="1:12" x14ac:dyDescent="0.3">
      <c r="A76">
        <v>1075</v>
      </c>
      <c r="B76" t="s">
        <v>117</v>
      </c>
      <c r="C76" t="s">
        <v>32</v>
      </c>
      <c r="D76" t="s">
        <v>22</v>
      </c>
      <c r="E76" t="s">
        <v>27</v>
      </c>
      <c r="F76" t="s">
        <v>23</v>
      </c>
      <c r="G76">
        <v>9</v>
      </c>
      <c r="H76">
        <v>735.38</v>
      </c>
      <c r="I76">
        <v>11</v>
      </c>
      <c r="J76" t="s">
        <v>17</v>
      </c>
      <c r="K76" t="s">
        <v>40</v>
      </c>
      <c r="L76" t="s">
        <v>48</v>
      </c>
    </row>
    <row r="77" spans="1:12" x14ac:dyDescent="0.3">
      <c r="A77">
        <v>1076</v>
      </c>
      <c r="B77" t="s">
        <v>118</v>
      </c>
      <c r="C77" t="s">
        <v>46</v>
      </c>
      <c r="D77" t="s">
        <v>14</v>
      </c>
      <c r="E77" t="s">
        <v>27</v>
      </c>
      <c r="F77" t="s">
        <v>44</v>
      </c>
      <c r="G77">
        <v>1</v>
      </c>
      <c r="H77">
        <v>2417.2600000000002</v>
      </c>
      <c r="I77">
        <v>25</v>
      </c>
      <c r="J77" t="s">
        <v>28</v>
      </c>
      <c r="K77" t="s">
        <v>18</v>
      </c>
      <c r="L77" t="s">
        <v>19</v>
      </c>
    </row>
    <row r="78" spans="1:12" x14ac:dyDescent="0.3">
      <c r="A78">
        <v>1077</v>
      </c>
      <c r="B78" t="s">
        <v>119</v>
      </c>
      <c r="C78" t="s">
        <v>54</v>
      </c>
      <c r="D78" t="s">
        <v>22</v>
      </c>
      <c r="E78" t="s">
        <v>27</v>
      </c>
      <c r="F78" t="s">
        <v>44</v>
      </c>
      <c r="G78">
        <v>9</v>
      </c>
      <c r="H78">
        <v>4774.63</v>
      </c>
      <c r="I78">
        <v>7</v>
      </c>
      <c r="J78" t="s">
        <v>24</v>
      </c>
      <c r="K78" t="s">
        <v>40</v>
      </c>
      <c r="L78" t="s">
        <v>30</v>
      </c>
    </row>
    <row r="79" spans="1:12" x14ac:dyDescent="0.3">
      <c r="A79">
        <v>1078</v>
      </c>
      <c r="B79" t="s">
        <v>120</v>
      </c>
      <c r="C79" t="s">
        <v>52</v>
      </c>
      <c r="D79" t="s">
        <v>47</v>
      </c>
      <c r="E79" t="s">
        <v>15</v>
      </c>
      <c r="F79" t="s">
        <v>23</v>
      </c>
      <c r="G79">
        <v>5</v>
      </c>
      <c r="H79">
        <v>425.91</v>
      </c>
      <c r="I79">
        <v>9</v>
      </c>
      <c r="J79" t="s">
        <v>24</v>
      </c>
      <c r="K79" t="s">
        <v>40</v>
      </c>
      <c r="L79" t="s">
        <v>30</v>
      </c>
    </row>
    <row r="80" spans="1:12" x14ac:dyDescent="0.3">
      <c r="A80">
        <v>1079</v>
      </c>
      <c r="B80" t="s">
        <v>121</v>
      </c>
      <c r="C80" t="s">
        <v>13</v>
      </c>
      <c r="D80" t="s">
        <v>33</v>
      </c>
      <c r="E80" t="s">
        <v>34</v>
      </c>
      <c r="F80" t="s">
        <v>38</v>
      </c>
      <c r="G80">
        <v>3</v>
      </c>
      <c r="H80">
        <v>827.38</v>
      </c>
      <c r="I80">
        <v>0</v>
      </c>
      <c r="J80" t="s">
        <v>28</v>
      </c>
      <c r="K80" t="s">
        <v>40</v>
      </c>
      <c r="L80" t="s">
        <v>48</v>
      </c>
    </row>
    <row r="81" spans="1:12" x14ac:dyDescent="0.3">
      <c r="A81">
        <v>1080</v>
      </c>
      <c r="B81" t="s">
        <v>122</v>
      </c>
      <c r="C81" t="s">
        <v>13</v>
      </c>
      <c r="D81" t="s">
        <v>22</v>
      </c>
      <c r="E81" t="s">
        <v>15</v>
      </c>
      <c r="F81" t="s">
        <v>44</v>
      </c>
      <c r="G81">
        <v>9</v>
      </c>
      <c r="H81">
        <v>3225.7</v>
      </c>
      <c r="I81">
        <v>7</v>
      </c>
      <c r="J81" t="s">
        <v>24</v>
      </c>
      <c r="K81" t="s">
        <v>29</v>
      </c>
      <c r="L81" t="s">
        <v>30</v>
      </c>
    </row>
    <row r="82" spans="1:12" x14ac:dyDescent="0.3">
      <c r="A82">
        <v>1081</v>
      </c>
      <c r="B82" t="s">
        <v>123</v>
      </c>
      <c r="C82" t="s">
        <v>52</v>
      </c>
      <c r="D82" t="s">
        <v>14</v>
      </c>
      <c r="E82" t="s">
        <v>34</v>
      </c>
      <c r="F82" t="s">
        <v>16</v>
      </c>
      <c r="G82">
        <v>10</v>
      </c>
      <c r="H82">
        <v>319.01</v>
      </c>
      <c r="I82">
        <v>23</v>
      </c>
      <c r="J82" t="s">
        <v>24</v>
      </c>
      <c r="K82" t="s">
        <v>40</v>
      </c>
      <c r="L82" t="s">
        <v>30</v>
      </c>
    </row>
    <row r="83" spans="1:12" x14ac:dyDescent="0.3">
      <c r="A83">
        <v>1082</v>
      </c>
      <c r="B83" t="s">
        <v>124</v>
      </c>
      <c r="C83" t="s">
        <v>46</v>
      </c>
      <c r="D83" t="s">
        <v>47</v>
      </c>
      <c r="E83" t="s">
        <v>27</v>
      </c>
      <c r="F83" t="s">
        <v>16</v>
      </c>
      <c r="G83">
        <v>8</v>
      </c>
      <c r="H83">
        <v>2924.27</v>
      </c>
      <c r="I83">
        <v>21</v>
      </c>
      <c r="J83" t="s">
        <v>24</v>
      </c>
      <c r="K83" t="s">
        <v>29</v>
      </c>
      <c r="L83" t="s">
        <v>19</v>
      </c>
    </row>
    <row r="84" spans="1:12" x14ac:dyDescent="0.3">
      <c r="A84">
        <v>1083</v>
      </c>
      <c r="B84" t="s">
        <v>125</v>
      </c>
      <c r="C84" t="s">
        <v>46</v>
      </c>
      <c r="D84" t="s">
        <v>14</v>
      </c>
      <c r="E84" t="s">
        <v>27</v>
      </c>
      <c r="F84" t="s">
        <v>16</v>
      </c>
      <c r="G84">
        <v>4</v>
      </c>
      <c r="H84">
        <v>2021.8</v>
      </c>
      <c r="I84">
        <v>22</v>
      </c>
      <c r="J84" t="s">
        <v>28</v>
      </c>
      <c r="K84" t="s">
        <v>40</v>
      </c>
      <c r="L84" t="s">
        <v>19</v>
      </c>
    </row>
    <row r="85" spans="1:12" x14ac:dyDescent="0.3">
      <c r="A85">
        <v>1084</v>
      </c>
      <c r="B85" t="s">
        <v>102</v>
      </c>
      <c r="C85" t="s">
        <v>46</v>
      </c>
      <c r="D85" t="s">
        <v>33</v>
      </c>
      <c r="E85" t="s">
        <v>15</v>
      </c>
      <c r="F85" t="s">
        <v>35</v>
      </c>
      <c r="G85">
        <v>3</v>
      </c>
      <c r="H85">
        <v>1973.28</v>
      </c>
      <c r="I85">
        <v>19</v>
      </c>
      <c r="J85" t="s">
        <v>17</v>
      </c>
      <c r="K85" t="s">
        <v>40</v>
      </c>
      <c r="L85" t="s">
        <v>19</v>
      </c>
    </row>
    <row r="86" spans="1:12" x14ac:dyDescent="0.3">
      <c r="A86">
        <v>1085</v>
      </c>
      <c r="B86" t="s">
        <v>126</v>
      </c>
      <c r="C86" t="s">
        <v>54</v>
      </c>
      <c r="D86" t="s">
        <v>33</v>
      </c>
      <c r="E86" t="s">
        <v>15</v>
      </c>
      <c r="F86" t="s">
        <v>23</v>
      </c>
      <c r="G86">
        <v>10</v>
      </c>
      <c r="H86">
        <v>3715.9</v>
      </c>
      <c r="I86">
        <v>18</v>
      </c>
      <c r="J86" t="s">
        <v>39</v>
      </c>
      <c r="K86" t="s">
        <v>40</v>
      </c>
      <c r="L86" t="s">
        <v>19</v>
      </c>
    </row>
    <row r="87" spans="1:12" x14ac:dyDescent="0.3">
      <c r="A87">
        <v>1086</v>
      </c>
      <c r="B87" t="s">
        <v>127</v>
      </c>
      <c r="C87" t="s">
        <v>21</v>
      </c>
      <c r="D87" t="s">
        <v>47</v>
      </c>
      <c r="E87" t="s">
        <v>27</v>
      </c>
      <c r="F87" t="s">
        <v>44</v>
      </c>
      <c r="G87">
        <v>7</v>
      </c>
      <c r="H87">
        <v>172.54</v>
      </c>
      <c r="I87">
        <v>25</v>
      </c>
      <c r="J87" t="s">
        <v>17</v>
      </c>
      <c r="K87" t="s">
        <v>18</v>
      </c>
      <c r="L87" t="s">
        <v>30</v>
      </c>
    </row>
    <row r="88" spans="1:12" x14ac:dyDescent="0.3">
      <c r="A88">
        <v>1087</v>
      </c>
      <c r="B88" t="s">
        <v>98</v>
      </c>
      <c r="C88" t="s">
        <v>21</v>
      </c>
      <c r="D88" t="s">
        <v>37</v>
      </c>
      <c r="E88" t="s">
        <v>34</v>
      </c>
      <c r="F88" t="s">
        <v>38</v>
      </c>
      <c r="G88">
        <v>2</v>
      </c>
      <c r="H88">
        <v>4389.67</v>
      </c>
      <c r="I88">
        <v>15</v>
      </c>
      <c r="J88" t="s">
        <v>24</v>
      </c>
      <c r="K88" t="s">
        <v>40</v>
      </c>
      <c r="L88" t="s">
        <v>19</v>
      </c>
    </row>
    <row r="89" spans="1:12" x14ac:dyDescent="0.3">
      <c r="A89">
        <v>1088</v>
      </c>
      <c r="B89" t="s">
        <v>128</v>
      </c>
      <c r="C89" t="s">
        <v>42</v>
      </c>
      <c r="D89" t="s">
        <v>22</v>
      </c>
      <c r="E89" t="s">
        <v>34</v>
      </c>
      <c r="F89" t="s">
        <v>35</v>
      </c>
      <c r="G89">
        <v>6</v>
      </c>
      <c r="H89">
        <v>3866.35</v>
      </c>
      <c r="I89">
        <v>5</v>
      </c>
      <c r="J89" t="s">
        <v>39</v>
      </c>
      <c r="K89" t="s">
        <v>40</v>
      </c>
      <c r="L89" t="s">
        <v>48</v>
      </c>
    </row>
    <row r="90" spans="1:12" x14ac:dyDescent="0.3">
      <c r="A90">
        <v>1089</v>
      </c>
      <c r="B90" t="s">
        <v>129</v>
      </c>
      <c r="C90" t="s">
        <v>32</v>
      </c>
      <c r="D90" t="s">
        <v>37</v>
      </c>
      <c r="E90" t="s">
        <v>34</v>
      </c>
      <c r="F90" t="s">
        <v>62</v>
      </c>
      <c r="G90">
        <v>10</v>
      </c>
      <c r="H90">
        <v>4442.08</v>
      </c>
      <c r="I90">
        <v>5</v>
      </c>
      <c r="J90" t="s">
        <v>28</v>
      </c>
      <c r="K90" t="s">
        <v>18</v>
      </c>
      <c r="L90" t="s">
        <v>30</v>
      </c>
    </row>
    <row r="91" spans="1:12" x14ac:dyDescent="0.3">
      <c r="A91">
        <v>1090</v>
      </c>
      <c r="B91" t="s">
        <v>130</v>
      </c>
      <c r="C91" t="s">
        <v>54</v>
      </c>
      <c r="D91" t="s">
        <v>33</v>
      </c>
      <c r="E91" t="s">
        <v>34</v>
      </c>
      <c r="F91" t="s">
        <v>38</v>
      </c>
      <c r="G91">
        <v>8</v>
      </c>
      <c r="H91">
        <v>3159.06</v>
      </c>
      <c r="I91">
        <v>19</v>
      </c>
      <c r="J91" t="s">
        <v>28</v>
      </c>
      <c r="K91" t="s">
        <v>29</v>
      </c>
      <c r="L91" t="s">
        <v>19</v>
      </c>
    </row>
    <row r="92" spans="1:12" x14ac:dyDescent="0.3">
      <c r="A92">
        <v>1091</v>
      </c>
      <c r="B92" t="s">
        <v>131</v>
      </c>
      <c r="C92" t="s">
        <v>13</v>
      </c>
      <c r="D92" t="s">
        <v>47</v>
      </c>
      <c r="E92" t="s">
        <v>34</v>
      </c>
      <c r="F92" t="s">
        <v>62</v>
      </c>
      <c r="G92">
        <v>10</v>
      </c>
      <c r="H92">
        <v>2397.9299999999998</v>
      </c>
      <c r="I92">
        <v>6</v>
      </c>
      <c r="J92" t="s">
        <v>39</v>
      </c>
      <c r="K92" t="s">
        <v>40</v>
      </c>
      <c r="L92" t="s">
        <v>48</v>
      </c>
    </row>
    <row r="93" spans="1:12" x14ac:dyDescent="0.3">
      <c r="A93">
        <v>1092</v>
      </c>
      <c r="B93" t="s">
        <v>132</v>
      </c>
      <c r="C93" t="s">
        <v>21</v>
      </c>
      <c r="D93" t="s">
        <v>22</v>
      </c>
      <c r="E93" t="s">
        <v>15</v>
      </c>
      <c r="F93" t="s">
        <v>38</v>
      </c>
      <c r="G93">
        <v>4</v>
      </c>
      <c r="H93">
        <v>4616.2</v>
      </c>
      <c r="I93">
        <v>15</v>
      </c>
      <c r="J93" t="s">
        <v>24</v>
      </c>
      <c r="K93" t="s">
        <v>40</v>
      </c>
      <c r="L93" t="s">
        <v>30</v>
      </c>
    </row>
    <row r="94" spans="1:12" x14ac:dyDescent="0.3">
      <c r="A94">
        <v>1093</v>
      </c>
      <c r="B94" t="s">
        <v>133</v>
      </c>
      <c r="C94" t="s">
        <v>65</v>
      </c>
      <c r="D94" t="s">
        <v>14</v>
      </c>
      <c r="E94" t="s">
        <v>27</v>
      </c>
      <c r="F94" t="s">
        <v>23</v>
      </c>
      <c r="G94">
        <v>3</v>
      </c>
      <c r="H94">
        <v>1557.32</v>
      </c>
      <c r="I94">
        <v>10</v>
      </c>
      <c r="J94" t="s">
        <v>39</v>
      </c>
      <c r="K94" t="s">
        <v>40</v>
      </c>
      <c r="L94" t="s">
        <v>48</v>
      </c>
    </row>
    <row r="95" spans="1:12" x14ac:dyDescent="0.3">
      <c r="A95">
        <v>1094</v>
      </c>
      <c r="B95" t="s">
        <v>124</v>
      </c>
      <c r="C95" t="s">
        <v>21</v>
      </c>
      <c r="D95" t="s">
        <v>37</v>
      </c>
      <c r="E95" t="s">
        <v>34</v>
      </c>
      <c r="F95" t="s">
        <v>35</v>
      </c>
      <c r="G95">
        <v>8</v>
      </c>
      <c r="H95">
        <v>1909.63</v>
      </c>
      <c r="I95">
        <v>29</v>
      </c>
      <c r="J95" t="s">
        <v>39</v>
      </c>
      <c r="K95" t="s">
        <v>18</v>
      </c>
      <c r="L95" t="s">
        <v>48</v>
      </c>
    </row>
    <row r="96" spans="1:12" x14ac:dyDescent="0.3">
      <c r="A96">
        <v>1095</v>
      </c>
      <c r="B96" t="s">
        <v>134</v>
      </c>
      <c r="C96" t="s">
        <v>42</v>
      </c>
      <c r="D96" t="s">
        <v>14</v>
      </c>
      <c r="E96" t="s">
        <v>15</v>
      </c>
      <c r="F96" t="s">
        <v>16</v>
      </c>
      <c r="G96">
        <v>4</v>
      </c>
      <c r="H96">
        <v>4534.7299999999996</v>
      </c>
      <c r="I96">
        <v>13</v>
      </c>
      <c r="J96" t="s">
        <v>39</v>
      </c>
      <c r="K96" t="s">
        <v>40</v>
      </c>
      <c r="L96" t="s">
        <v>30</v>
      </c>
    </row>
    <row r="97" spans="1:12" x14ac:dyDescent="0.3">
      <c r="A97">
        <v>1096</v>
      </c>
      <c r="B97" t="s">
        <v>135</v>
      </c>
      <c r="C97" t="s">
        <v>42</v>
      </c>
      <c r="D97" t="s">
        <v>22</v>
      </c>
      <c r="E97" t="s">
        <v>34</v>
      </c>
      <c r="F97" t="s">
        <v>44</v>
      </c>
      <c r="G97">
        <v>8</v>
      </c>
      <c r="H97">
        <v>3300.89</v>
      </c>
      <c r="I97">
        <v>22</v>
      </c>
      <c r="J97" t="s">
        <v>28</v>
      </c>
      <c r="K97" t="s">
        <v>29</v>
      </c>
      <c r="L97" t="s">
        <v>19</v>
      </c>
    </row>
    <row r="98" spans="1:12" x14ac:dyDescent="0.3">
      <c r="A98">
        <v>1097</v>
      </c>
      <c r="B98" t="s">
        <v>79</v>
      </c>
      <c r="C98" t="s">
        <v>21</v>
      </c>
      <c r="D98" t="s">
        <v>22</v>
      </c>
      <c r="E98" t="s">
        <v>27</v>
      </c>
      <c r="F98" t="s">
        <v>62</v>
      </c>
      <c r="G98">
        <v>7</v>
      </c>
      <c r="H98">
        <v>2207</v>
      </c>
      <c r="I98">
        <v>24</v>
      </c>
      <c r="J98" t="s">
        <v>28</v>
      </c>
      <c r="K98" t="s">
        <v>29</v>
      </c>
      <c r="L98" t="s">
        <v>19</v>
      </c>
    </row>
    <row r="99" spans="1:12" x14ac:dyDescent="0.3">
      <c r="A99">
        <v>1098</v>
      </c>
      <c r="B99" t="s">
        <v>136</v>
      </c>
      <c r="C99" t="s">
        <v>21</v>
      </c>
      <c r="D99" t="s">
        <v>47</v>
      </c>
      <c r="E99" t="s">
        <v>27</v>
      </c>
      <c r="F99" t="s">
        <v>35</v>
      </c>
      <c r="G99">
        <v>4</v>
      </c>
      <c r="H99">
        <v>1138.73</v>
      </c>
      <c r="I99">
        <v>9</v>
      </c>
      <c r="J99" t="s">
        <v>24</v>
      </c>
      <c r="K99" t="s">
        <v>40</v>
      </c>
      <c r="L99" t="s">
        <v>30</v>
      </c>
    </row>
    <row r="100" spans="1:12" x14ac:dyDescent="0.3">
      <c r="A100">
        <v>1099</v>
      </c>
      <c r="B100" t="s">
        <v>51</v>
      </c>
      <c r="C100" t="s">
        <v>52</v>
      </c>
      <c r="D100" t="s">
        <v>33</v>
      </c>
      <c r="E100" t="s">
        <v>15</v>
      </c>
      <c r="F100" t="s">
        <v>62</v>
      </c>
      <c r="G100">
        <v>5</v>
      </c>
      <c r="H100">
        <v>3504.29</v>
      </c>
      <c r="I100">
        <v>13</v>
      </c>
      <c r="J100" t="s">
        <v>24</v>
      </c>
      <c r="K100" t="s">
        <v>18</v>
      </c>
      <c r="L100" t="s">
        <v>19</v>
      </c>
    </row>
    <row r="101" spans="1:12" x14ac:dyDescent="0.3">
      <c r="A101">
        <v>1100</v>
      </c>
      <c r="B101" t="s">
        <v>137</v>
      </c>
      <c r="C101" t="s">
        <v>54</v>
      </c>
      <c r="D101" t="s">
        <v>47</v>
      </c>
      <c r="E101" t="s">
        <v>27</v>
      </c>
      <c r="F101" t="s">
        <v>35</v>
      </c>
      <c r="G101">
        <v>5</v>
      </c>
      <c r="H101">
        <v>4994.95</v>
      </c>
      <c r="I101">
        <v>7</v>
      </c>
      <c r="J101" t="s">
        <v>39</v>
      </c>
      <c r="K101" t="s">
        <v>18</v>
      </c>
      <c r="L101" t="s">
        <v>19</v>
      </c>
    </row>
    <row r="102" spans="1:12" x14ac:dyDescent="0.3">
      <c r="A102">
        <v>1101</v>
      </c>
      <c r="B102" t="s">
        <v>138</v>
      </c>
      <c r="C102" t="s">
        <v>42</v>
      </c>
      <c r="D102" t="s">
        <v>37</v>
      </c>
      <c r="E102" t="s">
        <v>34</v>
      </c>
      <c r="F102" t="s">
        <v>44</v>
      </c>
      <c r="G102">
        <v>9</v>
      </c>
      <c r="H102">
        <v>1131.22</v>
      </c>
      <c r="I102">
        <v>25</v>
      </c>
      <c r="J102" t="s">
        <v>39</v>
      </c>
      <c r="K102" t="s">
        <v>29</v>
      </c>
      <c r="L102" t="s">
        <v>48</v>
      </c>
    </row>
    <row r="103" spans="1:12" x14ac:dyDescent="0.3">
      <c r="A103">
        <v>1102</v>
      </c>
      <c r="B103" t="s">
        <v>139</v>
      </c>
      <c r="C103" t="s">
        <v>52</v>
      </c>
      <c r="D103" t="s">
        <v>14</v>
      </c>
      <c r="E103" t="s">
        <v>27</v>
      </c>
      <c r="F103" t="s">
        <v>62</v>
      </c>
      <c r="G103">
        <v>7</v>
      </c>
      <c r="H103">
        <v>1801.32</v>
      </c>
      <c r="I103">
        <v>1</v>
      </c>
      <c r="J103" t="s">
        <v>24</v>
      </c>
      <c r="K103" t="s">
        <v>29</v>
      </c>
      <c r="L103" t="s">
        <v>19</v>
      </c>
    </row>
    <row r="104" spans="1:12" x14ac:dyDescent="0.3">
      <c r="A104">
        <v>1103</v>
      </c>
      <c r="B104" t="s">
        <v>140</v>
      </c>
      <c r="C104" t="s">
        <v>54</v>
      </c>
      <c r="D104" t="s">
        <v>14</v>
      </c>
      <c r="E104" t="s">
        <v>15</v>
      </c>
      <c r="F104" t="s">
        <v>44</v>
      </c>
      <c r="G104">
        <v>3</v>
      </c>
      <c r="H104">
        <v>4635.46</v>
      </c>
      <c r="I104">
        <v>30</v>
      </c>
      <c r="J104" t="s">
        <v>28</v>
      </c>
      <c r="K104" t="s">
        <v>29</v>
      </c>
      <c r="L104" t="s">
        <v>19</v>
      </c>
    </row>
    <row r="105" spans="1:12" x14ac:dyDescent="0.3">
      <c r="A105">
        <v>1104</v>
      </c>
      <c r="B105" t="s">
        <v>141</v>
      </c>
      <c r="C105" t="s">
        <v>65</v>
      </c>
      <c r="D105" t="s">
        <v>37</v>
      </c>
      <c r="E105" t="s">
        <v>15</v>
      </c>
      <c r="F105" t="s">
        <v>38</v>
      </c>
      <c r="G105">
        <v>1</v>
      </c>
      <c r="H105">
        <v>1778.06</v>
      </c>
      <c r="I105">
        <v>8</v>
      </c>
      <c r="J105" t="s">
        <v>39</v>
      </c>
      <c r="K105" t="s">
        <v>29</v>
      </c>
      <c r="L105" t="s">
        <v>48</v>
      </c>
    </row>
    <row r="106" spans="1:12" x14ac:dyDescent="0.3">
      <c r="A106">
        <v>1105</v>
      </c>
      <c r="B106" t="s">
        <v>116</v>
      </c>
      <c r="C106" t="s">
        <v>13</v>
      </c>
      <c r="D106" t="s">
        <v>47</v>
      </c>
      <c r="E106" t="s">
        <v>27</v>
      </c>
      <c r="F106" t="s">
        <v>44</v>
      </c>
      <c r="G106">
        <v>1</v>
      </c>
      <c r="H106">
        <v>551.66</v>
      </c>
      <c r="I106">
        <v>0</v>
      </c>
      <c r="J106" t="s">
        <v>28</v>
      </c>
      <c r="K106" t="s">
        <v>29</v>
      </c>
      <c r="L106" t="s">
        <v>30</v>
      </c>
    </row>
    <row r="107" spans="1:12" x14ac:dyDescent="0.3">
      <c r="A107">
        <v>1106</v>
      </c>
      <c r="B107" t="s">
        <v>142</v>
      </c>
      <c r="C107" t="s">
        <v>65</v>
      </c>
      <c r="D107" t="s">
        <v>47</v>
      </c>
      <c r="E107" t="s">
        <v>27</v>
      </c>
      <c r="F107" t="s">
        <v>35</v>
      </c>
      <c r="G107">
        <v>7</v>
      </c>
      <c r="H107">
        <v>2785.36</v>
      </c>
      <c r="I107">
        <v>25</v>
      </c>
      <c r="J107" t="s">
        <v>28</v>
      </c>
      <c r="K107" t="s">
        <v>40</v>
      </c>
      <c r="L107" t="s">
        <v>30</v>
      </c>
    </row>
    <row r="108" spans="1:12" x14ac:dyDescent="0.3">
      <c r="A108">
        <v>1107</v>
      </c>
      <c r="B108" t="s">
        <v>126</v>
      </c>
      <c r="C108" t="s">
        <v>65</v>
      </c>
      <c r="D108" t="s">
        <v>22</v>
      </c>
      <c r="E108" t="s">
        <v>27</v>
      </c>
      <c r="F108" t="s">
        <v>35</v>
      </c>
      <c r="G108">
        <v>6</v>
      </c>
      <c r="H108">
        <v>4546.2700000000004</v>
      </c>
      <c r="I108">
        <v>20</v>
      </c>
      <c r="J108" t="s">
        <v>39</v>
      </c>
      <c r="K108" t="s">
        <v>18</v>
      </c>
      <c r="L108" t="s">
        <v>30</v>
      </c>
    </row>
    <row r="109" spans="1:12" x14ac:dyDescent="0.3">
      <c r="A109">
        <v>1108</v>
      </c>
      <c r="B109" t="s">
        <v>143</v>
      </c>
      <c r="C109" t="s">
        <v>54</v>
      </c>
      <c r="D109" t="s">
        <v>37</v>
      </c>
      <c r="E109" t="s">
        <v>15</v>
      </c>
      <c r="F109" t="s">
        <v>38</v>
      </c>
      <c r="G109">
        <v>10</v>
      </c>
      <c r="H109">
        <v>2527.96</v>
      </c>
      <c r="I109">
        <v>24</v>
      </c>
      <c r="J109" t="s">
        <v>24</v>
      </c>
      <c r="K109" t="s">
        <v>18</v>
      </c>
      <c r="L109" t="s">
        <v>19</v>
      </c>
    </row>
    <row r="110" spans="1:12" x14ac:dyDescent="0.3">
      <c r="A110">
        <v>1109</v>
      </c>
      <c r="B110" t="s">
        <v>144</v>
      </c>
      <c r="C110" t="s">
        <v>52</v>
      </c>
      <c r="D110" t="s">
        <v>37</v>
      </c>
      <c r="E110" t="s">
        <v>27</v>
      </c>
      <c r="F110" t="s">
        <v>35</v>
      </c>
      <c r="G110">
        <v>9</v>
      </c>
      <c r="H110">
        <v>152.47999999999999</v>
      </c>
      <c r="I110">
        <v>10</v>
      </c>
      <c r="J110" t="s">
        <v>24</v>
      </c>
      <c r="K110" t="s">
        <v>29</v>
      </c>
      <c r="L110" t="s">
        <v>30</v>
      </c>
    </row>
    <row r="111" spans="1:12" x14ac:dyDescent="0.3">
      <c r="A111">
        <v>1110</v>
      </c>
      <c r="B111" t="s">
        <v>145</v>
      </c>
      <c r="C111" t="s">
        <v>65</v>
      </c>
      <c r="D111" t="s">
        <v>14</v>
      </c>
      <c r="E111" t="s">
        <v>15</v>
      </c>
      <c r="F111" t="s">
        <v>23</v>
      </c>
      <c r="G111">
        <v>10</v>
      </c>
      <c r="H111">
        <v>2900.71</v>
      </c>
      <c r="I111">
        <v>16</v>
      </c>
      <c r="J111" t="s">
        <v>39</v>
      </c>
      <c r="K111" t="s">
        <v>40</v>
      </c>
      <c r="L111" t="s">
        <v>30</v>
      </c>
    </row>
    <row r="112" spans="1:12" x14ac:dyDescent="0.3">
      <c r="A112">
        <v>1111</v>
      </c>
      <c r="B112" t="s">
        <v>45</v>
      </c>
      <c r="C112" t="s">
        <v>32</v>
      </c>
      <c r="D112" t="s">
        <v>22</v>
      </c>
      <c r="E112" t="s">
        <v>34</v>
      </c>
      <c r="F112" t="s">
        <v>23</v>
      </c>
      <c r="G112">
        <v>2</v>
      </c>
      <c r="H112">
        <v>4316.82</v>
      </c>
      <c r="I112">
        <v>6</v>
      </c>
      <c r="J112" t="s">
        <v>24</v>
      </c>
      <c r="K112" t="s">
        <v>29</v>
      </c>
      <c r="L112" t="s">
        <v>48</v>
      </c>
    </row>
    <row r="113" spans="1:12" x14ac:dyDescent="0.3">
      <c r="A113">
        <v>1112</v>
      </c>
      <c r="B113" t="s">
        <v>146</v>
      </c>
      <c r="C113" t="s">
        <v>13</v>
      </c>
      <c r="D113" t="s">
        <v>37</v>
      </c>
      <c r="E113" t="s">
        <v>15</v>
      </c>
      <c r="F113" t="s">
        <v>16</v>
      </c>
      <c r="G113">
        <v>9</v>
      </c>
      <c r="H113">
        <v>3520.87</v>
      </c>
      <c r="I113">
        <v>17</v>
      </c>
      <c r="J113" t="s">
        <v>24</v>
      </c>
      <c r="K113" t="s">
        <v>40</v>
      </c>
      <c r="L113" t="s">
        <v>30</v>
      </c>
    </row>
    <row r="114" spans="1:12" x14ac:dyDescent="0.3">
      <c r="A114">
        <v>1113</v>
      </c>
      <c r="B114" t="s">
        <v>147</v>
      </c>
      <c r="C114" t="s">
        <v>13</v>
      </c>
      <c r="D114" t="s">
        <v>14</v>
      </c>
      <c r="E114" t="s">
        <v>15</v>
      </c>
      <c r="F114" t="s">
        <v>62</v>
      </c>
      <c r="G114">
        <v>6</v>
      </c>
      <c r="H114">
        <v>503.54</v>
      </c>
      <c r="I114">
        <v>0</v>
      </c>
      <c r="J114" t="s">
        <v>28</v>
      </c>
      <c r="K114" t="s">
        <v>18</v>
      </c>
      <c r="L114" t="s">
        <v>48</v>
      </c>
    </row>
    <row r="115" spans="1:12" x14ac:dyDescent="0.3">
      <c r="A115">
        <v>1114</v>
      </c>
      <c r="B115" t="s">
        <v>148</v>
      </c>
      <c r="C115" t="s">
        <v>52</v>
      </c>
      <c r="D115" t="s">
        <v>14</v>
      </c>
      <c r="E115" t="s">
        <v>15</v>
      </c>
      <c r="F115" t="s">
        <v>44</v>
      </c>
      <c r="G115">
        <v>2</v>
      </c>
      <c r="H115">
        <v>4712.13</v>
      </c>
      <c r="I115">
        <v>22</v>
      </c>
      <c r="J115" t="s">
        <v>17</v>
      </c>
      <c r="K115" t="s">
        <v>40</v>
      </c>
      <c r="L115" t="s">
        <v>30</v>
      </c>
    </row>
    <row r="116" spans="1:12" x14ac:dyDescent="0.3">
      <c r="A116">
        <v>1115</v>
      </c>
      <c r="B116" t="s">
        <v>149</v>
      </c>
      <c r="C116" t="s">
        <v>21</v>
      </c>
      <c r="D116" t="s">
        <v>14</v>
      </c>
      <c r="E116" t="s">
        <v>34</v>
      </c>
      <c r="F116" t="s">
        <v>38</v>
      </c>
      <c r="G116">
        <v>6</v>
      </c>
      <c r="H116">
        <v>1792.05</v>
      </c>
      <c r="I116">
        <v>21</v>
      </c>
      <c r="J116" t="s">
        <v>24</v>
      </c>
      <c r="K116" t="s">
        <v>18</v>
      </c>
      <c r="L116" t="s">
        <v>30</v>
      </c>
    </row>
    <row r="117" spans="1:12" x14ac:dyDescent="0.3">
      <c r="A117">
        <v>1116</v>
      </c>
      <c r="B117" t="s">
        <v>150</v>
      </c>
      <c r="C117" t="s">
        <v>21</v>
      </c>
      <c r="D117" t="s">
        <v>22</v>
      </c>
      <c r="E117" t="s">
        <v>27</v>
      </c>
      <c r="F117" t="s">
        <v>44</v>
      </c>
      <c r="G117">
        <v>2</v>
      </c>
      <c r="H117">
        <v>4758.6400000000003</v>
      </c>
      <c r="I117">
        <v>0</v>
      </c>
      <c r="J117" t="s">
        <v>24</v>
      </c>
      <c r="K117" t="s">
        <v>18</v>
      </c>
      <c r="L117" t="s">
        <v>48</v>
      </c>
    </row>
    <row r="118" spans="1:12" x14ac:dyDescent="0.3">
      <c r="A118">
        <v>1117</v>
      </c>
      <c r="B118" t="s">
        <v>151</v>
      </c>
      <c r="C118" t="s">
        <v>65</v>
      </c>
      <c r="D118" t="s">
        <v>47</v>
      </c>
      <c r="E118" t="s">
        <v>34</v>
      </c>
      <c r="F118" t="s">
        <v>38</v>
      </c>
      <c r="G118">
        <v>5</v>
      </c>
      <c r="H118">
        <v>780.44</v>
      </c>
      <c r="I118">
        <v>16</v>
      </c>
      <c r="J118" t="s">
        <v>24</v>
      </c>
      <c r="K118" t="s">
        <v>18</v>
      </c>
      <c r="L118" t="s">
        <v>30</v>
      </c>
    </row>
    <row r="119" spans="1:12" x14ac:dyDescent="0.3">
      <c r="A119">
        <v>1118</v>
      </c>
      <c r="B119" t="s">
        <v>152</v>
      </c>
      <c r="C119" t="s">
        <v>46</v>
      </c>
      <c r="D119" t="s">
        <v>22</v>
      </c>
      <c r="E119" t="s">
        <v>34</v>
      </c>
      <c r="F119" t="s">
        <v>62</v>
      </c>
      <c r="G119">
        <v>2</v>
      </c>
      <c r="H119">
        <v>1049.4100000000001</v>
      </c>
      <c r="I119">
        <v>14</v>
      </c>
      <c r="J119" t="s">
        <v>39</v>
      </c>
      <c r="K119" t="s">
        <v>18</v>
      </c>
      <c r="L119" t="s">
        <v>19</v>
      </c>
    </row>
    <row r="120" spans="1:12" x14ac:dyDescent="0.3">
      <c r="A120">
        <v>1119</v>
      </c>
      <c r="B120" t="s">
        <v>153</v>
      </c>
      <c r="C120" t="s">
        <v>46</v>
      </c>
      <c r="D120" t="s">
        <v>47</v>
      </c>
      <c r="E120" t="s">
        <v>27</v>
      </c>
      <c r="F120" t="s">
        <v>16</v>
      </c>
      <c r="G120">
        <v>9</v>
      </c>
      <c r="H120">
        <v>334.23</v>
      </c>
      <c r="I120">
        <v>14</v>
      </c>
      <c r="J120" t="s">
        <v>24</v>
      </c>
      <c r="K120" t="s">
        <v>40</v>
      </c>
      <c r="L120" t="s">
        <v>30</v>
      </c>
    </row>
    <row r="121" spans="1:12" x14ac:dyDescent="0.3">
      <c r="A121">
        <v>1120</v>
      </c>
      <c r="B121" t="s">
        <v>145</v>
      </c>
      <c r="C121" t="s">
        <v>65</v>
      </c>
      <c r="D121" t="s">
        <v>47</v>
      </c>
      <c r="E121" t="s">
        <v>15</v>
      </c>
      <c r="F121" t="s">
        <v>38</v>
      </c>
      <c r="G121">
        <v>4</v>
      </c>
      <c r="H121">
        <v>4698.49</v>
      </c>
      <c r="I121">
        <v>5</v>
      </c>
      <c r="J121" t="s">
        <v>28</v>
      </c>
      <c r="K121" t="s">
        <v>29</v>
      </c>
      <c r="L121" t="s">
        <v>19</v>
      </c>
    </row>
    <row r="122" spans="1:12" x14ac:dyDescent="0.3">
      <c r="A122">
        <v>1121</v>
      </c>
      <c r="B122" t="s">
        <v>154</v>
      </c>
      <c r="C122" t="s">
        <v>32</v>
      </c>
      <c r="D122" t="s">
        <v>33</v>
      </c>
      <c r="E122" t="s">
        <v>34</v>
      </c>
      <c r="F122" t="s">
        <v>35</v>
      </c>
      <c r="G122">
        <v>7</v>
      </c>
      <c r="H122">
        <v>2236.7199999999998</v>
      </c>
      <c r="I122">
        <v>8</v>
      </c>
      <c r="J122" t="s">
        <v>28</v>
      </c>
      <c r="K122" t="s">
        <v>29</v>
      </c>
      <c r="L122" t="s">
        <v>19</v>
      </c>
    </row>
    <row r="123" spans="1:12" x14ac:dyDescent="0.3">
      <c r="A123">
        <v>1122</v>
      </c>
      <c r="B123" t="s">
        <v>155</v>
      </c>
      <c r="C123" t="s">
        <v>46</v>
      </c>
      <c r="D123" t="s">
        <v>33</v>
      </c>
      <c r="E123" t="s">
        <v>34</v>
      </c>
      <c r="F123" t="s">
        <v>23</v>
      </c>
      <c r="G123">
        <v>4</v>
      </c>
      <c r="H123">
        <v>763.21</v>
      </c>
      <c r="I123">
        <v>25</v>
      </c>
      <c r="J123" t="s">
        <v>24</v>
      </c>
      <c r="K123" t="s">
        <v>29</v>
      </c>
      <c r="L123" t="s">
        <v>48</v>
      </c>
    </row>
    <row r="124" spans="1:12" x14ac:dyDescent="0.3">
      <c r="A124">
        <v>1123</v>
      </c>
      <c r="B124" t="s">
        <v>156</v>
      </c>
      <c r="C124" t="s">
        <v>13</v>
      </c>
      <c r="D124" t="s">
        <v>22</v>
      </c>
      <c r="E124" t="s">
        <v>34</v>
      </c>
      <c r="F124" t="s">
        <v>38</v>
      </c>
      <c r="G124">
        <v>3</v>
      </c>
      <c r="H124">
        <v>4544.3100000000004</v>
      </c>
      <c r="I124">
        <v>5</v>
      </c>
      <c r="J124" t="s">
        <v>17</v>
      </c>
      <c r="K124" t="s">
        <v>40</v>
      </c>
      <c r="L124" t="s">
        <v>48</v>
      </c>
    </row>
    <row r="125" spans="1:12" x14ac:dyDescent="0.3">
      <c r="A125">
        <v>1124</v>
      </c>
      <c r="B125" t="s">
        <v>157</v>
      </c>
      <c r="C125" t="s">
        <v>46</v>
      </c>
      <c r="D125" t="s">
        <v>47</v>
      </c>
      <c r="E125" t="s">
        <v>15</v>
      </c>
      <c r="F125" t="s">
        <v>23</v>
      </c>
      <c r="G125">
        <v>6</v>
      </c>
      <c r="H125">
        <v>3687.8</v>
      </c>
      <c r="I125">
        <v>18</v>
      </c>
      <c r="J125" t="s">
        <v>39</v>
      </c>
      <c r="K125" t="s">
        <v>40</v>
      </c>
      <c r="L125" t="s">
        <v>19</v>
      </c>
    </row>
    <row r="126" spans="1:12" x14ac:dyDescent="0.3">
      <c r="A126">
        <v>1125</v>
      </c>
      <c r="B126" t="s">
        <v>158</v>
      </c>
      <c r="C126" t="s">
        <v>32</v>
      </c>
      <c r="D126" t="s">
        <v>22</v>
      </c>
      <c r="E126" t="s">
        <v>34</v>
      </c>
      <c r="F126" t="s">
        <v>16</v>
      </c>
      <c r="G126">
        <v>10</v>
      </c>
      <c r="H126">
        <v>4748.51</v>
      </c>
      <c r="I126">
        <v>15</v>
      </c>
      <c r="J126" t="s">
        <v>28</v>
      </c>
      <c r="K126" t="s">
        <v>18</v>
      </c>
      <c r="L126" t="s">
        <v>30</v>
      </c>
    </row>
    <row r="127" spans="1:12" x14ac:dyDescent="0.3">
      <c r="A127">
        <v>1126</v>
      </c>
      <c r="B127" t="s">
        <v>49</v>
      </c>
      <c r="C127" t="s">
        <v>42</v>
      </c>
      <c r="D127" t="s">
        <v>22</v>
      </c>
      <c r="E127" t="s">
        <v>15</v>
      </c>
      <c r="F127" t="s">
        <v>35</v>
      </c>
      <c r="G127">
        <v>5</v>
      </c>
      <c r="H127">
        <v>1997.37</v>
      </c>
      <c r="I127">
        <v>3</v>
      </c>
      <c r="J127" t="s">
        <v>28</v>
      </c>
      <c r="K127" t="s">
        <v>40</v>
      </c>
      <c r="L127" t="s">
        <v>30</v>
      </c>
    </row>
    <row r="128" spans="1:12" x14ac:dyDescent="0.3">
      <c r="A128">
        <v>1127</v>
      </c>
      <c r="B128" t="s">
        <v>159</v>
      </c>
      <c r="C128" t="s">
        <v>42</v>
      </c>
      <c r="D128" t="s">
        <v>14</v>
      </c>
      <c r="E128" t="s">
        <v>15</v>
      </c>
      <c r="F128" t="s">
        <v>38</v>
      </c>
      <c r="G128">
        <v>4</v>
      </c>
      <c r="H128">
        <v>4781.63</v>
      </c>
      <c r="I128">
        <v>1</v>
      </c>
      <c r="J128" t="s">
        <v>17</v>
      </c>
      <c r="K128" t="s">
        <v>40</v>
      </c>
      <c r="L128" t="s">
        <v>19</v>
      </c>
    </row>
    <row r="129" spans="1:12" x14ac:dyDescent="0.3">
      <c r="A129">
        <v>1128</v>
      </c>
      <c r="B129" t="s">
        <v>81</v>
      </c>
      <c r="C129" t="s">
        <v>21</v>
      </c>
      <c r="D129" t="s">
        <v>33</v>
      </c>
      <c r="E129" t="s">
        <v>34</v>
      </c>
      <c r="F129" t="s">
        <v>62</v>
      </c>
      <c r="G129">
        <v>5</v>
      </c>
      <c r="H129">
        <v>4888.82</v>
      </c>
      <c r="I129">
        <v>2</v>
      </c>
      <c r="J129" t="s">
        <v>39</v>
      </c>
      <c r="K129" t="s">
        <v>29</v>
      </c>
      <c r="L129" t="s">
        <v>48</v>
      </c>
    </row>
    <row r="130" spans="1:12" x14ac:dyDescent="0.3">
      <c r="A130">
        <v>1129</v>
      </c>
      <c r="B130" t="s">
        <v>121</v>
      </c>
      <c r="C130" t="s">
        <v>54</v>
      </c>
      <c r="D130" t="s">
        <v>47</v>
      </c>
      <c r="E130" t="s">
        <v>27</v>
      </c>
      <c r="F130" t="s">
        <v>38</v>
      </c>
      <c r="G130">
        <v>5</v>
      </c>
      <c r="H130">
        <v>1009.43</v>
      </c>
      <c r="I130">
        <v>23</v>
      </c>
      <c r="J130" t="s">
        <v>17</v>
      </c>
      <c r="K130" t="s">
        <v>18</v>
      </c>
      <c r="L130" t="s">
        <v>48</v>
      </c>
    </row>
    <row r="131" spans="1:12" x14ac:dyDescent="0.3">
      <c r="A131">
        <v>1130</v>
      </c>
      <c r="B131" t="s">
        <v>160</v>
      </c>
      <c r="C131" t="s">
        <v>21</v>
      </c>
      <c r="D131" t="s">
        <v>47</v>
      </c>
      <c r="E131" t="s">
        <v>34</v>
      </c>
      <c r="F131" t="s">
        <v>35</v>
      </c>
      <c r="G131">
        <v>2</v>
      </c>
      <c r="H131">
        <v>3891.03</v>
      </c>
      <c r="I131">
        <v>18</v>
      </c>
      <c r="J131" t="s">
        <v>39</v>
      </c>
      <c r="K131" t="s">
        <v>29</v>
      </c>
      <c r="L131" t="s">
        <v>19</v>
      </c>
    </row>
    <row r="132" spans="1:12" x14ac:dyDescent="0.3">
      <c r="A132">
        <v>1131</v>
      </c>
      <c r="B132" t="s">
        <v>161</v>
      </c>
      <c r="C132" t="s">
        <v>32</v>
      </c>
      <c r="D132" t="s">
        <v>33</v>
      </c>
      <c r="E132" t="s">
        <v>15</v>
      </c>
      <c r="F132" t="s">
        <v>38</v>
      </c>
      <c r="G132">
        <v>3</v>
      </c>
      <c r="H132">
        <v>3016.08</v>
      </c>
      <c r="I132">
        <v>22</v>
      </c>
      <c r="J132" t="s">
        <v>24</v>
      </c>
      <c r="K132" t="s">
        <v>29</v>
      </c>
      <c r="L132" t="s">
        <v>30</v>
      </c>
    </row>
    <row r="133" spans="1:12" x14ac:dyDescent="0.3">
      <c r="A133">
        <v>1132</v>
      </c>
      <c r="B133" t="s">
        <v>162</v>
      </c>
      <c r="C133" t="s">
        <v>21</v>
      </c>
      <c r="D133" t="s">
        <v>47</v>
      </c>
      <c r="E133" t="s">
        <v>15</v>
      </c>
      <c r="F133" t="s">
        <v>16</v>
      </c>
      <c r="G133">
        <v>6</v>
      </c>
      <c r="H133">
        <v>1308.33</v>
      </c>
      <c r="I133">
        <v>19</v>
      </c>
      <c r="J133" t="s">
        <v>24</v>
      </c>
      <c r="K133" t="s">
        <v>29</v>
      </c>
      <c r="L133" t="s">
        <v>30</v>
      </c>
    </row>
    <row r="134" spans="1:12" x14ac:dyDescent="0.3">
      <c r="A134">
        <v>1133</v>
      </c>
      <c r="B134" t="s">
        <v>163</v>
      </c>
      <c r="C134" t="s">
        <v>52</v>
      </c>
      <c r="D134" t="s">
        <v>14</v>
      </c>
      <c r="E134" t="s">
        <v>15</v>
      </c>
      <c r="F134" t="s">
        <v>44</v>
      </c>
      <c r="G134">
        <v>5</v>
      </c>
      <c r="H134">
        <v>1111.25</v>
      </c>
      <c r="I134">
        <v>25</v>
      </c>
      <c r="J134" t="s">
        <v>28</v>
      </c>
      <c r="K134" t="s">
        <v>29</v>
      </c>
      <c r="L134" t="s">
        <v>30</v>
      </c>
    </row>
    <row r="135" spans="1:12" x14ac:dyDescent="0.3">
      <c r="A135">
        <v>1134</v>
      </c>
      <c r="B135" t="s">
        <v>49</v>
      </c>
      <c r="C135" t="s">
        <v>52</v>
      </c>
      <c r="D135" t="s">
        <v>37</v>
      </c>
      <c r="E135" t="s">
        <v>34</v>
      </c>
      <c r="F135" t="s">
        <v>62</v>
      </c>
      <c r="G135">
        <v>3</v>
      </c>
      <c r="H135">
        <v>2444.2199999999998</v>
      </c>
      <c r="I135">
        <v>22</v>
      </c>
      <c r="J135" t="s">
        <v>39</v>
      </c>
      <c r="K135" t="s">
        <v>18</v>
      </c>
      <c r="L135" t="s">
        <v>48</v>
      </c>
    </row>
    <row r="136" spans="1:12" x14ac:dyDescent="0.3">
      <c r="A136">
        <v>1135</v>
      </c>
      <c r="B136" t="s">
        <v>154</v>
      </c>
      <c r="C136" t="s">
        <v>46</v>
      </c>
      <c r="D136" t="s">
        <v>33</v>
      </c>
      <c r="E136" t="s">
        <v>34</v>
      </c>
      <c r="F136" t="s">
        <v>44</v>
      </c>
      <c r="G136">
        <v>1</v>
      </c>
      <c r="H136">
        <v>2203.7199999999998</v>
      </c>
      <c r="I136">
        <v>2</v>
      </c>
      <c r="J136" t="s">
        <v>28</v>
      </c>
      <c r="K136" t="s">
        <v>18</v>
      </c>
      <c r="L136" t="s">
        <v>30</v>
      </c>
    </row>
    <row r="137" spans="1:12" x14ac:dyDescent="0.3">
      <c r="A137">
        <v>1136</v>
      </c>
      <c r="B137" t="s">
        <v>107</v>
      </c>
      <c r="C137" t="s">
        <v>13</v>
      </c>
      <c r="D137" t="s">
        <v>14</v>
      </c>
      <c r="E137" t="s">
        <v>34</v>
      </c>
      <c r="F137" t="s">
        <v>35</v>
      </c>
      <c r="G137">
        <v>10</v>
      </c>
      <c r="H137">
        <v>3452.08</v>
      </c>
      <c r="I137">
        <v>11</v>
      </c>
      <c r="J137" t="s">
        <v>17</v>
      </c>
      <c r="K137" t="s">
        <v>18</v>
      </c>
      <c r="L137" t="s">
        <v>19</v>
      </c>
    </row>
    <row r="138" spans="1:12" x14ac:dyDescent="0.3">
      <c r="A138">
        <v>1137</v>
      </c>
      <c r="B138" t="s">
        <v>164</v>
      </c>
      <c r="C138" t="s">
        <v>46</v>
      </c>
      <c r="D138" t="s">
        <v>47</v>
      </c>
      <c r="E138" t="s">
        <v>27</v>
      </c>
      <c r="F138" t="s">
        <v>35</v>
      </c>
      <c r="G138">
        <v>9</v>
      </c>
      <c r="H138">
        <v>3439.96</v>
      </c>
      <c r="I138">
        <v>24</v>
      </c>
      <c r="J138" t="s">
        <v>39</v>
      </c>
      <c r="K138" t="s">
        <v>18</v>
      </c>
      <c r="L138" t="s">
        <v>19</v>
      </c>
    </row>
    <row r="139" spans="1:12" x14ac:dyDescent="0.3">
      <c r="A139">
        <v>1138</v>
      </c>
      <c r="B139" t="s">
        <v>165</v>
      </c>
      <c r="C139" t="s">
        <v>32</v>
      </c>
      <c r="D139" t="s">
        <v>14</v>
      </c>
      <c r="E139" t="s">
        <v>27</v>
      </c>
      <c r="F139" t="s">
        <v>44</v>
      </c>
      <c r="G139">
        <v>2</v>
      </c>
      <c r="H139">
        <v>1493.28</v>
      </c>
      <c r="I139">
        <v>13</v>
      </c>
      <c r="J139" t="s">
        <v>24</v>
      </c>
      <c r="K139" t="s">
        <v>29</v>
      </c>
      <c r="L139" t="s">
        <v>19</v>
      </c>
    </row>
    <row r="140" spans="1:12" x14ac:dyDescent="0.3">
      <c r="A140">
        <v>1139</v>
      </c>
      <c r="B140" t="s">
        <v>136</v>
      </c>
      <c r="C140" t="s">
        <v>21</v>
      </c>
      <c r="D140" t="s">
        <v>33</v>
      </c>
      <c r="E140" t="s">
        <v>27</v>
      </c>
      <c r="F140" t="s">
        <v>23</v>
      </c>
      <c r="G140">
        <v>10</v>
      </c>
      <c r="H140">
        <v>891.63</v>
      </c>
      <c r="I140">
        <v>3</v>
      </c>
      <c r="J140" t="s">
        <v>39</v>
      </c>
      <c r="K140" t="s">
        <v>40</v>
      </c>
      <c r="L140" t="s">
        <v>48</v>
      </c>
    </row>
    <row r="141" spans="1:12" x14ac:dyDescent="0.3">
      <c r="A141">
        <v>1140</v>
      </c>
      <c r="B141" t="s">
        <v>55</v>
      </c>
      <c r="C141" t="s">
        <v>52</v>
      </c>
      <c r="D141" t="s">
        <v>47</v>
      </c>
      <c r="E141" t="s">
        <v>34</v>
      </c>
      <c r="F141" t="s">
        <v>35</v>
      </c>
      <c r="G141">
        <v>8</v>
      </c>
      <c r="H141">
        <v>1478.34</v>
      </c>
      <c r="I141">
        <v>23</v>
      </c>
      <c r="J141" t="s">
        <v>39</v>
      </c>
      <c r="K141" t="s">
        <v>40</v>
      </c>
      <c r="L141" t="s">
        <v>19</v>
      </c>
    </row>
    <row r="142" spans="1:12" x14ac:dyDescent="0.3">
      <c r="A142">
        <v>1141</v>
      </c>
      <c r="B142" t="s">
        <v>166</v>
      </c>
      <c r="C142" t="s">
        <v>52</v>
      </c>
      <c r="D142" t="s">
        <v>14</v>
      </c>
      <c r="E142" t="s">
        <v>27</v>
      </c>
      <c r="F142" t="s">
        <v>35</v>
      </c>
      <c r="G142">
        <v>10</v>
      </c>
      <c r="H142">
        <v>3495.07</v>
      </c>
      <c r="I142">
        <v>3</v>
      </c>
      <c r="J142" t="s">
        <v>17</v>
      </c>
      <c r="K142" t="s">
        <v>29</v>
      </c>
      <c r="L142" t="s">
        <v>48</v>
      </c>
    </row>
    <row r="143" spans="1:12" x14ac:dyDescent="0.3">
      <c r="A143">
        <v>1142</v>
      </c>
      <c r="B143" t="s">
        <v>167</v>
      </c>
      <c r="C143" t="s">
        <v>32</v>
      </c>
      <c r="D143" t="s">
        <v>22</v>
      </c>
      <c r="E143" t="s">
        <v>15</v>
      </c>
      <c r="F143" t="s">
        <v>35</v>
      </c>
      <c r="G143">
        <v>4</v>
      </c>
      <c r="H143">
        <v>3713.46</v>
      </c>
      <c r="I143">
        <v>5</v>
      </c>
      <c r="J143" t="s">
        <v>39</v>
      </c>
      <c r="K143" t="s">
        <v>29</v>
      </c>
      <c r="L143" t="s">
        <v>30</v>
      </c>
    </row>
    <row r="144" spans="1:12" x14ac:dyDescent="0.3">
      <c r="A144">
        <v>1143</v>
      </c>
      <c r="B144" t="s">
        <v>168</v>
      </c>
      <c r="C144" t="s">
        <v>46</v>
      </c>
      <c r="D144" t="s">
        <v>22</v>
      </c>
      <c r="E144" t="s">
        <v>34</v>
      </c>
      <c r="F144" t="s">
        <v>38</v>
      </c>
      <c r="G144">
        <v>3</v>
      </c>
      <c r="H144">
        <v>820.92</v>
      </c>
      <c r="I144">
        <v>14</v>
      </c>
      <c r="J144" t="s">
        <v>17</v>
      </c>
      <c r="K144" t="s">
        <v>29</v>
      </c>
      <c r="L144" t="s">
        <v>48</v>
      </c>
    </row>
    <row r="145" spans="1:12" x14ac:dyDescent="0.3">
      <c r="A145">
        <v>1144</v>
      </c>
      <c r="B145" t="s">
        <v>169</v>
      </c>
      <c r="C145" t="s">
        <v>32</v>
      </c>
      <c r="D145" t="s">
        <v>47</v>
      </c>
      <c r="E145" t="s">
        <v>27</v>
      </c>
      <c r="F145" t="s">
        <v>62</v>
      </c>
      <c r="G145">
        <v>6</v>
      </c>
      <c r="H145">
        <v>1171.05</v>
      </c>
      <c r="I145">
        <v>14</v>
      </c>
      <c r="J145" t="s">
        <v>39</v>
      </c>
      <c r="K145" t="s">
        <v>40</v>
      </c>
      <c r="L145" t="s">
        <v>48</v>
      </c>
    </row>
    <row r="146" spans="1:12" x14ac:dyDescent="0.3">
      <c r="A146">
        <v>1145</v>
      </c>
      <c r="B146" t="s">
        <v>170</v>
      </c>
      <c r="C146" t="s">
        <v>65</v>
      </c>
      <c r="D146" t="s">
        <v>37</v>
      </c>
      <c r="E146" t="s">
        <v>34</v>
      </c>
      <c r="F146" t="s">
        <v>62</v>
      </c>
      <c r="G146">
        <v>1</v>
      </c>
      <c r="H146">
        <v>2312.4899999999998</v>
      </c>
      <c r="I146">
        <v>18</v>
      </c>
      <c r="J146" t="s">
        <v>39</v>
      </c>
      <c r="K146" t="s">
        <v>40</v>
      </c>
      <c r="L146" t="s">
        <v>30</v>
      </c>
    </row>
    <row r="147" spans="1:12" x14ac:dyDescent="0.3">
      <c r="A147">
        <v>1146</v>
      </c>
      <c r="B147" t="s">
        <v>171</v>
      </c>
      <c r="C147" t="s">
        <v>32</v>
      </c>
      <c r="D147" t="s">
        <v>22</v>
      </c>
      <c r="E147" t="s">
        <v>27</v>
      </c>
      <c r="F147" t="s">
        <v>35</v>
      </c>
      <c r="G147">
        <v>10</v>
      </c>
      <c r="H147">
        <v>4519.79</v>
      </c>
      <c r="I147">
        <v>15</v>
      </c>
      <c r="J147" t="s">
        <v>39</v>
      </c>
      <c r="K147" t="s">
        <v>40</v>
      </c>
      <c r="L147" t="s">
        <v>48</v>
      </c>
    </row>
    <row r="148" spans="1:12" x14ac:dyDescent="0.3">
      <c r="A148">
        <v>1147</v>
      </c>
      <c r="B148" t="s">
        <v>95</v>
      </c>
      <c r="C148" t="s">
        <v>32</v>
      </c>
      <c r="D148" t="s">
        <v>14</v>
      </c>
      <c r="E148" t="s">
        <v>15</v>
      </c>
      <c r="F148" t="s">
        <v>62</v>
      </c>
      <c r="G148">
        <v>8</v>
      </c>
      <c r="H148">
        <v>332.45</v>
      </c>
      <c r="I148">
        <v>23</v>
      </c>
      <c r="J148" t="s">
        <v>24</v>
      </c>
      <c r="K148" t="s">
        <v>18</v>
      </c>
      <c r="L148" t="s">
        <v>19</v>
      </c>
    </row>
    <row r="149" spans="1:12" x14ac:dyDescent="0.3">
      <c r="A149">
        <v>1148</v>
      </c>
      <c r="B149" t="s">
        <v>172</v>
      </c>
      <c r="C149" t="s">
        <v>46</v>
      </c>
      <c r="D149" t="s">
        <v>33</v>
      </c>
      <c r="E149" t="s">
        <v>27</v>
      </c>
      <c r="F149" t="s">
        <v>23</v>
      </c>
      <c r="G149">
        <v>5</v>
      </c>
      <c r="H149">
        <v>2620.89</v>
      </c>
      <c r="I149">
        <v>24</v>
      </c>
      <c r="J149" t="s">
        <v>24</v>
      </c>
      <c r="K149" t="s">
        <v>40</v>
      </c>
      <c r="L149" t="s">
        <v>19</v>
      </c>
    </row>
    <row r="150" spans="1:12" x14ac:dyDescent="0.3">
      <c r="A150">
        <v>1149</v>
      </c>
      <c r="B150" t="s">
        <v>173</v>
      </c>
      <c r="C150" t="s">
        <v>42</v>
      </c>
      <c r="D150" t="s">
        <v>33</v>
      </c>
      <c r="E150" t="s">
        <v>27</v>
      </c>
      <c r="F150" t="s">
        <v>16</v>
      </c>
      <c r="G150">
        <v>7</v>
      </c>
      <c r="H150">
        <v>214.86</v>
      </c>
      <c r="I150">
        <v>0</v>
      </c>
      <c r="J150" t="s">
        <v>39</v>
      </c>
      <c r="K150" t="s">
        <v>18</v>
      </c>
      <c r="L150" t="s">
        <v>19</v>
      </c>
    </row>
    <row r="151" spans="1:12" x14ac:dyDescent="0.3">
      <c r="A151">
        <v>1150</v>
      </c>
      <c r="B151" t="s">
        <v>174</v>
      </c>
      <c r="C151" t="s">
        <v>65</v>
      </c>
      <c r="D151" t="s">
        <v>22</v>
      </c>
      <c r="E151" t="s">
        <v>27</v>
      </c>
      <c r="F151" t="s">
        <v>38</v>
      </c>
      <c r="G151">
        <v>8</v>
      </c>
      <c r="H151">
        <v>3938.8</v>
      </c>
      <c r="I151">
        <v>29</v>
      </c>
      <c r="J151" t="s">
        <v>39</v>
      </c>
      <c r="K151" t="s">
        <v>18</v>
      </c>
      <c r="L151" t="s">
        <v>30</v>
      </c>
    </row>
    <row r="152" spans="1:12" x14ac:dyDescent="0.3">
      <c r="A152">
        <v>1151</v>
      </c>
      <c r="B152" t="s">
        <v>96</v>
      </c>
      <c r="C152" t="s">
        <v>32</v>
      </c>
      <c r="D152" t="s">
        <v>14</v>
      </c>
      <c r="E152" t="s">
        <v>15</v>
      </c>
      <c r="F152" t="s">
        <v>16</v>
      </c>
      <c r="G152">
        <v>7</v>
      </c>
      <c r="H152">
        <v>2377.87</v>
      </c>
      <c r="I152">
        <v>3</v>
      </c>
      <c r="J152" t="s">
        <v>39</v>
      </c>
      <c r="K152" t="s">
        <v>29</v>
      </c>
      <c r="L152" t="s">
        <v>30</v>
      </c>
    </row>
    <row r="153" spans="1:12" x14ac:dyDescent="0.3">
      <c r="A153">
        <v>1152</v>
      </c>
      <c r="B153" t="s">
        <v>175</v>
      </c>
      <c r="C153" t="s">
        <v>52</v>
      </c>
      <c r="D153" t="s">
        <v>47</v>
      </c>
      <c r="E153" t="s">
        <v>15</v>
      </c>
      <c r="F153" t="s">
        <v>35</v>
      </c>
      <c r="G153">
        <v>8</v>
      </c>
      <c r="H153">
        <v>2194.7399999999998</v>
      </c>
      <c r="I153">
        <v>25</v>
      </c>
      <c r="J153" t="s">
        <v>17</v>
      </c>
      <c r="K153" t="s">
        <v>29</v>
      </c>
      <c r="L153" t="s">
        <v>30</v>
      </c>
    </row>
    <row r="154" spans="1:12" x14ac:dyDescent="0.3">
      <c r="A154">
        <v>1153</v>
      </c>
      <c r="B154" t="s">
        <v>56</v>
      </c>
      <c r="C154" t="s">
        <v>42</v>
      </c>
      <c r="D154" t="s">
        <v>37</v>
      </c>
      <c r="E154" t="s">
        <v>15</v>
      </c>
      <c r="F154" t="s">
        <v>16</v>
      </c>
      <c r="G154">
        <v>3</v>
      </c>
      <c r="H154">
        <v>722.95</v>
      </c>
      <c r="I154">
        <v>7</v>
      </c>
      <c r="J154" t="s">
        <v>39</v>
      </c>
      <c r="K154" t="s">
        <v>40</v>
      </c>
      <c r="L154" t="s">
        <v>48</v>
      </c>
    </row>
    <row r="155" spans="1:12" x14ac:dyDescent="0.3">
      <c r="A155">
        <v>1154</v>
      </c>
      <c r="B155" t="s">
        <v>176</v>
      </c>
      <c r="C155" t="s">
        <v>54</v>
      </c>
      <c r="D155" t="s">
        <v>22</v>
      </c>
      <c r="E155" t="s">
        <v>27</v>
      </c>
      <c r="F155" t="s">
        <v>38</v>
      </c>
      <c r="G155">
        <v>6</v>
      </c>
      <c r="H155">
        <v>2443.6799999999998</v>
      </c>
      <c r="I155">
        <v>10</v>
      </c>
      <c r="J155" t="s">
        <v>39</v>
      </c>
      <c r="K155" t="s">
        <v>40</v>
      </c>
      <c r="L155" t="s">
        <v>30</v>
      </c>
    </row>
    <row r="156" spans="1:12" x14ac:dyDescent="0.3">
      <c r="A156">
        <v>1155</v>
      </c>
      <c r="B156" t="s">
        <v>151</v>
      </c>
      <c r="C156" t="s">
        <v>54</v>
      </c>
      <c r="D156" t="s">
        <v>37</v>
      </c>
      <c r="E156" t="s">
        <v>15</v>
      </c>
      <c r="F156" t="s">
        <v>16</v>
      </c>
      <c r="G156">
        <v>2</v>
      </c>
      <c r="H156">
        <v>1755.24</v>
      </c>
      <c r="I156">
        <v>15</v>
      </c>
      <c r="J156" t="s">
        <v>24</v>
      </c>
      <c r="K156" t="s">
        <v>18</v>
      </c>
      <c r="L156" t="s">
        <v>30</v>
      </c>
    </row>
    <row r="157" spans="1:12" x14ac:dyDescent="0.3">
      <c r="A157">
        <v>1156</v>
      </c>
      <c r="B157" t="s">
        <v>56</v>
      </c>
      <c r="C157" t="s">
        <v>42</v>
      </c>
      <c r="D157" t="s">
        <v>33</v>
      </c>
      <c r="E157" t="s">
        <v>27</v>
      </c>
      <c r="F157" t="s">
        <v>35</v>
      </c>
      <c r="G157">
        <v>1</v>
      </c>
      <c r="H157">
        <v>4984.82</v>
      </c>
      <c r="I157">
        <v>3</v>
      </c>
      <c r="J157" t="s">
        <v>28</v>
      </c>
      <c r="K157" t="s">
        <v>29</v>
      </c>
      <c r="L157" t="s">
        <v>19</v>
      </c>
    </row>
    <row r="158" spans="1:12" x14ac:dyDescent="0.3">
      <c r="A158">
        <v>1157</v>
      </c>
      <c r="B158" t="s">
        <v>177</v>
      </c>
      <c r="C158" t="s">
        <v>13</v>
      </c>
      <c r="D158" t="s">
        <v>33</v>
      </c>
      <c r="E158" t="s">
        <v>34</v>
      </c>
      <c r="F158" t="s">
        <v>35</v>
      </c>
      <c r="G158">
        <v>9</v>
      </c>
      <c r="H158">
        <v>485.29</v>
      </c>
      <c r="I158">
        <v>9</v>
      </c>
      <c r="J158" t="s">
        <v>17</v>
      </c>
      <c r="K158" t="s">
        <v>18</v>
      </c>
      <c r="L158" t="s">
        <v>30</v>
      </c>
    </row>
    <row r="159" spans="1:12" x14ac:dyDescent="0.3">
      <c r="A159">
        <v>1158</v>
      </c>
      <c r="B159" t="s">
        <v>170</v>
      </c>
      <c r="C159" t="s">
        <v>13</v>
      </c>
      <c r="D159" t="s">
        <v>14</v>
      </c>
      <c r="E159" t="s">
        <v>34</v>
      </c>
      <c r="F159" t="s">
        <v>38</v>
      </c>
      <c r="G159">
        <v>10</v>
      </c>
      <c r="H159">
        <v>3825.91</v>
      </c>
      <c r="I159">
        <v>0</v>
      </c>
      <c r="J159" t="s">
        <v>39</v>
      </c>
      <c r="K159" t="s">
        <v>40</v>
      </c>
      <c r="L159" t="s">
        <v>30</v>
      </c>
    </row>
    <row r="160" spans="1:12" x14ac:dyDescent="0.3">
      <c r="A160">
        <v>1159</v>
      </c>
      <c r="B160" t="s">
        <v>178</v>
      </c>
      <c r="C160" t="s">
        <v>52</v>
      </c>
      <c r="D160" t="s">
        <v>14</v>
      </c>
      <c r="E160" t="s">
        <v>34</v>
      </c>
      <c r="F160" t="s">
        <v>62</v>
      </c>
      <c r="G160">
        <v>3</v>
      </c>
      <c r="H160">
        <v>2135.4899999999998</v>
      </c>
      <c r="I160">
        <v>28</v>
      </c>
      <c r="J160" t="s">
        <v>39</v>
      </c>
      <c r="K160" t="s">
        <v>18</v>
      </c>
      <c r="L160" t="s">
        <v>48</v>
      </c>
    </row>
    <row r="161" spans="1:12" x14ac:dyDescent="0.3">
      <c r="A161">
        <v>1160</v>
      </c>
      <c r="B161" t="s">
        <v>57</v>
      </c>
      <c r="C161" t="s">
        <v>32</v>
      </c>
      <c r="D161" t="s">
        <v>14</v>
      </c>
      <c r="E161" t="s">
        <v>15</v>
      </c>
      <c r="F161" t="s">
        <v>35</v>
      </c>
      <c r="G161">
        <v>8</v>
      </c>
      <c r="H161">
        <v>277.81</v>
      </c>
      <c r="I161">
        <v>16</v>
      </c>
      <c r="J161" t="s">
        <v>28</v>
      </c>
      <c r="K161" t="s">
        <v>18</v>
      </c>
      <c r="L161" t="s">
        <v>30</v>
      </c>
    </row>
    <row r="162" spans="1:12" x14ac:dyDescent="0.3">
      <c r="A162">
        <v>1161</v>
      </c>
      <c r="B162" t="s">
        <v>109</v>
      </c>
      <c r="C162" t="s">
        <v>21</v>
      </c>
      <c r="D162" t="s">
        <v>14</v>
      </c>
      <c r="E162" t="s">
        <v>34</v>
      </c>
      <c r="F162" t="s">
        <v>38</v>
      </c>
      <c r="G162">
        <v>4</v>
      </c>
      <c r="H162">
        <v>4493.32</v>
      </c>
      <c r="I162">
        <v>12</v>
      </c>
      <c r="J162" t="s">
        <v>17</v>
      </c>
      <c r="K162" t="s">
        <v>18</v>
      </c>
      <c r="L162" t="s">
        <v>48</v>
      </c>
    </row>
    <row r="163" spans="1:12" x14ac:dyDescent="0.3">
      <c r="A163">
        <v>1162</v>
      </c>
      <c r="B163" t="s">
        <v>72</v>
      </c>
      <c r="C163" t="s">
        <v>32</v>
      </c>
      <c r="D163" t="s">
        <v>14</v>
      </c>
      <c r="E163" t="s">
        <v>27</v>
      </c>
      <c r="F163" t="s">
        <v>16</v>
      </c>
      <c r="G163">
        <v>8</v>
      </c>
      <c r="H163">
        <v>344.21</v>
      </c>
      <c r="I163">
        <v>17</v>
      </c>
      <c r="J163" t="s">
        <v>39</v>
      </c>
      <c r="K163" t="s">
        <v>18</v>
      </c>
      <c r="L163" t="s">
        <v>30</v>
      </c>
    </row>
    <row r="164" spans="1:12" x14ac:dyDescent="0.3">
      <c r="A164">
        <v>1163</v>
      </c>
      <c r="B164" t="s">
        <v>179</v>
      </c>
      <c r="C164" t="s">
        <v>46</v>
      </c>
      <c r="D164" t="s">
        <v>47</v>
      </c>
      <c r="E164" t="s">
        <v>34</v>
      </c>
      <c r="F164" t="s">
        <v>44</v>
      </c>
      <c r="G164">
        <v>10</v>
      </c>
      <c r="H164">
        <v>2512.16</v>
      </c>
      <c r="I164">
        <v>21</v>
      </c>
      <c r="J164" t="s">
        <v>24</v>
      </c>
      <c r="K164" t="s">
        <v>18</v>
      </c>
      <c r="L164" t="s">
        <v>48</v>
      </c>
    </row>
    <row r="165" spans="1:12" x14ac:dyDescent="0.3">
      <c r="A165">
        <v>1164</v>
      </c>
      <c r="B165" t="s">
        <v>180</v>
      </c>
      <c r="C165" t="s">
        <v>21</v>
      </c>
      <c r="D165" t="s">
        <v>22</v>
      </c>
      <c r="E165" t="s">
        <v>34</v>
      </c>
      <c r="F165" t="s">
        <v>16</v>
      </c>
      <c r="G165">
        <v>8</v>
      </c>
      <c r="H165">
        <v>439.77</v>
      </c>
      <c r="I165">
        <v>14</v>
      </c>
      <c r="J165" t="s">
        <v>39</v>
      </c>
      <c r="K165" t="s">
        <v>40</v>
      </c>
      <c r="L165" t="s">
        <v>30</v>
      </c>
    </row>
    <row r="166" spans="1:12" x14ac:dyDescent="0.3">
      <c r="A166">
        <v>1165</v>
      </c>
      <c r="B166" t="s">
        <v>181</v>
      </c>
      <c r="C166" t="s">
        <v>32</v>
      </c>
      <c r="D166" t="s">
        <v>37</v>
      </c>
      <c r="E166" t="s">
        <v>15</v>
      </c>
      <c r="F166" t="s">
        <v>62</v>
      </c>
      <c r="G166">
        <v>3</v>
      </c>
      <c r="H166">
        <v>2683.36</v>
      </c>
      <c r="I166">
        <v>18</v>
      </c>
      <c r="J166" t="s">
        <v>24</v>
      </c>
      <c r="K166" t="s">
        <v>40</v>
      </c>
      <c r="L166" t="s">
        <v>48</v>
      </c>
    </row>
    <row r="167" spans="1:12" x14ac:dyDescent="0.3">
      <c r="A167">
        <v>1166</v>
      </c>
      <c r="B167" t="s">
        <v>182</v>
      </c>
      <c r="C167" t="s">
        <v>65</v>
      </c>
      <c r="D167" t="s">
        <v>47</v>
      </c>
      <c r="E167" t="s">
        <v>27</v>
      </c>
      <c r="F167" t="s">
        <v>35</v>
      </c>
      <c r="G167">
        <v>3</v>
      </c>
      <c r="H167">
        <v>2306.56</v>
      </c>
      <c r="I167">
        <v>4</v>
      </c>
      <c r="J167" t="s">
        <v>17</v>
      </c>
      <c r="K167" t="s">
        <v>18</v>
      </c>
      <c r="L167" t="s">
        <v>19</v>
      </c>
    </row>
    <row r="168" spans="1:12" x14ac:dyDescent="0.3">
      <c r="A168">
        <v>1167</v>
      </c>
      <c r="B168" t="s">
        <v>180</v>
      </c>
      <c r="C168" t="s">
        <v>42</v>
      </c>
      <c r="D168" t="s">
        <v>47</v>
      </c>
      <c r="E168" t="s">
        <v>15</v>
      </c>
      <c r="F168" t="s">
        <v>38</v>
      </c>
      <c r="G168">
        <v>9</v>
      </c>
      <c r="H168">
        <v>1738.44</v>
      </c>
      <c r="I168">
        <v>24</v>
      </c>
      <c r="J168" t="s">
        <v>17</v>
      </c>
      <c r="K168" t="s">
        <v>29</v>
      </c>
      <c r="L168" t="s">
        <v>48</v>
      </c>
    </row>
    <row r="169" spans="1:12" x14ac:dyDescent="0.3">
      <c r="A169">
        <v>1168</v>
      </c>
      <c r="B169" t="s">
        <v>183</v>
      </c>
      <c r="C169" t="s">
        <v>54</v>
      </c>
      <c r="D169" t="s">
        <v>14</v>
      </c>
      <c r="E169" t="s">
        <v>15</v>
      </c>
      <c r="F169" t="s">
        <v>44</v>
      </c>
      <c r="G169">
        <v>5</v>
      </c>
      <c r="H169">
        <v>1819.91</v>
      </c>
      <c r="I169">
        <v>13</v>
      </c>
      <c r="J169" t="s">
        <v>28</v>
      </c>
      <c r="K169" t="s">
        <v>18</v>
      </c>
      <c r="L169" t="s">
        <v>30</v>
      </c>
    </row>
    <row r="170" spans="1:12" x14ac:dyDescent="0.3">
      <c r="A170">
        <v>1169</v>
      </c>
      <c r="B170" t="s">
        <v>97</v>
      </c>
      <c r="C170" t="s">
        <v>46</v>
      </c>
      <c r="D170" t="s">
        <v>33</v>
      </c>
      <c r="E170" t="s">
        <v>34</v>
      </c>
      <c r="F170" t="s">
        <v>44</v>
      </c>
      <c r="G170">
        <v>5</v>
      </c>
      <c r="H170">
        <v>485.2</v>
      </c>
      <c r="I170">
        <v>16</v>
      </c>
      <c r="J170" t="s">
        <v>17</v>
      </c>
      <c r="K170" t="s">
        <v>29</v>
      </c>
      <c r="L170" t="s">
        <v>19</v>
      </c>
    </row>
    <row r="171" spans="1:12" x14ac:dyDescent="0.3">
      <c r="A171">
        <v>1170</v>
      </c>
      <c r="B171" t="s">
        <v>156</v>
      </c>
      <c r="C171" t="s">
        <v>52</v>
      </c>
      <c r="D171" t="s">
        <v>37</v>
      </c>
      <c r="E171" t="s">
        <v>34</v>
      </c>
      <c r="F171" t="s">
        <v>62</v>
      </c>
      <c r="G171">
        <v>7</v>
      </c>
      <c r="H171">
        <v>474.72</v>
      </c>
      <c r="I171">
        <v>15</v>
      </c>
      <c r="J171" t="s">
        <v>28</v>
      </c>
      <c r="K171" t="s">
        <v>18</v>
      </c>
      <c r="L171" t="s">
        <v>48</v>
      </c>
    </row>
    <row r="172" spans="1:12" x14ac:dyDescent="0.3">
      <c r="A172">
        <v>1171</v>
      </c>
      <c r="B172" t="s">
        <v>156</v>
      </c>
      <c r="C172" t="s">
        <v>21</v>
      </c>
      <c r="D172" t="s">
        <v>14</v>
      </c>
      <c r="E172" t="s">
        <v>34</v>
      </c>
      <c r="F172" t="s">
        <v>35</v>
      </c>
      <c r="G172">
        <v>4</v>
      </c>
      <c r="H172">
        <v>315.82</v>
      </c>
      <c r="I172">
        <v>5</v>
      </c>
      <c r="J172" t="s">
        <v>28</v>
      </c>
      <c r="K172" t="s">
        <v>18</v>
      </c>
      <c r="L172" t="s">
        <v>30</v>
      </c>
    </row>
    <row r="173" spans="1:12" x14ac:dyDescent="0.3">
      <c r="A173">
        <v>1172</v>
      </c>
      <c r="B173" t="s">
        <v>184</v>
      </c>
      <c r="C173" t="s">
        <v>54</v>
      </c>
      <c r="D173" t="s">
        <v>33</v>
      </c>
      <c r="E173" t="s">
        <v>15</v>
      </c>
      <c r="F173" t="s">
        <v>16</v>
      </c>
      <c r="G173">
        <v>4</v>
      </c>
      <c r="H173">
        <v>3047.34</v>
      </c>
      <c r="I173">
        <v>0</v>
      </c>
      <c r="J173" t="s">
        <v>28</v>
      </c>
      <c r="K173" t="s">
        <v>40</v>
      </c>
      <c r="L173" t="s">
        <v>48</v>
      </c>
    </row>
    <row r="174" spans="1:12" x14ac:dyDescent="0.3">
      <c r="A174">
        <v>1173</v>
      </c>
      <c r="B174" t="s">
        <v>185</v>
      </c>
      <c r="C174" t="s">
        <v>32</v>
      </c>
      <c r="D174" t="s">
        <v>33</v>
      </c>
      <c r="E174" t="s">
        <v>15</v>
      </c>
      <c r="F174" t="s">
        <v>16</v>
      </c>
      <c r="G174">
        <v>6</v>
      </c>
      <c r="H174">
        <v>4763.43</v>
      </c>
      <c r="I174">
        <v>30</v>
      </c>
      <c r="J174" t="s">
        <v>28</v>
      </c>
      <c r="K174" t="s">
        <v>40</v>
      </c>
      <c r="L174" t="s">
        <v>19</v>
      </c>
    </row>
    <row r="175" spans="1:12" x14ac:dyDescent="0.3">
      <c r="A175">
        <v>1174</v>
      </c>
      <c r="B175" t="s">
        <v>186</v>
      </c>
      <c r="C175" t="s">
        <v>52</v>
      </c>
      <c r="D175" t="s">
        <v>33</v>
      </c>
      <c r="E175" t="s">
        <v>27</v>
      </c>
      <c r="F175" t="s">
        <v>23</v>
      </c>
      <c r="G175">
        <v>2</v>
      </c>
      <c r="H175">
        <v>3585.99</v>
      </c>
      <c r="I175">
        <v>1</v>
      </c>
      <c r="J175" t="s">
        <v>39</v>
      </c>
      <c r="K175" t="s">
        <v>18</v>
      </c>
      <c r="L175" t="s">
        <v>19</v>
      </c>
    </row>
    <row r="176" spans="1:12" x14ac:dyDescent="0.3">
      <c r="A176">
        <v>1175</v>
      </c>
      <c r="B176" t="s">
        <v>179</v>
      </c>
      <c r="C176" t="s">
        <v>52</v>
      </c>
      <c r="D176" t="s">
        <v>33</v>
      </c>
      <c r="E176" t="s">
        <v>27</v>
      </c>
      <c r="F176" t="s">
        <v>62</v>
      </c>
      <c r="G176">
        <v>3</v>
      </c>
      <c r="H176">
        <v>684.93</v>
      </c>
      <c r="I176">
        <v>19</v>
      </c>
      <c r="J176" t="s">
        <v>28</v>
      </c>
      <c r="K176" t="s">
        <v>18</v>
      </c>
      <c r="L176" t="s">
        <v>19</v>
      </c>
    </row>
    <row r="177" spans="1:12" x14ac:dyDescent="0.3">
      <c r="A177">
        <v>1176</v>
      </c>
      <c r="B177" t="s">
        <v>187</v>
      </c>
      <c r="C177" t="s">
        <v>32</v>
      </c>
      <c r="D177" t="s">
        <v>14</v>
      </c>
      <c r="E177" t="s">
        <v>34</v>
      </c>
      <c r="F177" t="s">
        <v>35</v>
      </c>
      <c r="G177">
        <v>4</v>
      </c>
      <c r="H177">
        <v>2055.42</v>
      </c>
      <c r="I177">
        <v>28</v>
      </c>
      <c r="J177" t="s">
        <v>28</v>
      </c>
      <c r="K177" t="s">
        <v>29</v>
      </c>
      <c r="L177" t="s">
        <v>48</v>
      </c>
    </row>
    <row r="178" spans="1:12" x14ac:dyDescent="0.3">
      <c r="A178">
        <v>1177</v>
      </c>
      <c r="B178" t="s">
        <v>188</v>
      </c>
      <c r="C178" t="s">
        <v>13</v>
      </c>
      <c r="D178" t="s">
        <v>22</v>
      </c>
      <c r="E178" t="s">
        <v>15</v>
      </c>
      <c r="F178" t="s">
        <v>35</v>
      </c>
      <c r="G178">
        <v>10</v>
      </c>
      <c r="H178">
        <v>3105.46</v>
      </c>
      <c r="I178">
        <v>15</v>
      </c>
      <c r="J178" t="s">
        <v>39</v>
      </c>
      <c r="K178" t="s">
        <v>40</v>
      </c>
      <c r="L178" t="s">
        <v>30</v>
      </c>
    </row>
    <row r="179" spans="1:12" x14ac:dyDescent="0.3">
      <c r="A179">
        <v>1178</v>
      </c>
      <c r="B179" t="s">
        <v>189</v>
      </c>
      <c r="C179" t="s">
        <v>54</v>
      </c>
      <c r="D179" t="s">
        <v>47</v>
      </c>
      <c r="E179" t="s">
        <v>15</v>
      </c>
      <c r="F179" t="s">
        <v>16</v>
      </c>
      <c r="G179">
        <v>6</v>
      </c>
      <c r="H179">
        <v>4654.05</v>
      </c>
      <c r="I179">
        <v>26</v>
      </c>
      <c r="J179" t="s">
        <v>17</v>
      </c>
      <c r="K179" t="s">
        <v>40</v>
      </c>
      <c r="L179" t="s">
        <v>30</v>
      </c>
    </row>
    <row r="180" spans="1:12" x14ac:dyDescent="0.3">
      <c r="A180">
        <v>1179</v>
      </c>
      <c r="B180" t="s">
        <v>190</v>
      </c>
      <c r="C180" t="s">
        <v>65</v>
      </c>
      <c r="D180" t="s">
        <v>22</v>
      </c>
      <c r="E180" t="s">
        <v>34</v>
      </c>
      <c r="F180" t="s">
        <v>35</v>
      </c>
      <c r="G180">
        <v>5</v>
      </c>
      <c r="H180">
        <v>4323.09</v>
      </c>
      <c r="I180">
        <v>3</v>
      </c>
      <c r="J180" t="s">
        <v>24</v>
      </c>
      <c r="K180" t="s">
        <v>40</v>
      </c>
      <c r="L180" t="s">
        <v>48</v>
      </c>
    </row>
    <row r="181" spans="1:12" x14ac:dyDescent="0.3">
      <c r="A181">
        <v>1180</v>
      </c>
      <c r="B181" t="s">
        <v>191</v>
      </c>
      <c r="C181" t="s">
        <v>46</v>
      </c>
      <c r="D181" t="s">
        <v>22</v>
      </c>
      <c r="E181" t="s">
        <v>27</v>
      </c>
      <c r="F181" t="s">
        <v>23</v>
      </c>
      <c r="G181">
        <v>3</v>
      </c>
      <c r="H181">
        <v>1494.03</v>
      </c>
      <c r="I181">
        <v>2</v>
      </c>
      <c r="J181" t="s">
        <v>17</v>
      </c>
      <c r="K181" t="s">
        <v>29</v>
      </c>
      <c r="L181" t="s">
        <v>30</v>
      </c>
    </row>
    <row r="182" spans="1:12" x14ac:dyDescent="0.3">
      <c r="A182">
        <v>1181</v>
      </c>
      <c r="B182" t="s">
        <v>192</v>
      </c>
      <c r="C182" t="s">
        <v>46</v>
      </c>
      <c r="D182" t="s">
        <v>22</v>
      </c>
      <c r="E182" t="s">
        <v>34</v>
      </c>
      <c r="F182" t="s">
        <v>16</v>
      </c>
      <c r="G182">
        <v>10</v>
      </c>
      <c r="H182">
        <v>1945.29</v>
      </c>
      <c r="I182">
        <v>14</v>
      </c>
      <c r="J182" t="s">
        <v>17</v>
      </c>
      <c r="K182" t="s">
        <v>18</v>
      </c>
      <c r="L182" t="s">
        <v>48</v>
      </c>
    </row>
    <row r="183" spans="1:12" x14ac:dyDescent="0.3">
      <c r="A183">
        <v>1182</v>
      </c>
      <c r="B183" t="s">
        <v>193</v>
      </c>
      <c r="C183" t="s">
        <v>65</v>
      </c>
      <c r="D183" t="s">
        <v>22</v>
      </c>
      <c r="E183" t="s">
        <v>27</v>
      </c>
      <c r="F183" t="s">
        <v>38</v>
      </c>
      <c r="G183">
        <v>1</v>
      </c>
      <c r="H183">
        <v>1802.49</v>
      </c>
      <c r="I183">
        <v>23</v>
      </c>
      <c r="J183" t="s">
        <v>39</v>
      </c>
      <c r="K183" t="s">
        <v>29</v>
      </c>
      <c r="L183" t="s">
        <v>19</v>
      </c>
    </row>
    <row r="184" spans="1:12" x14ac:dyDescent="0.3">
      <c r="A184">
        <v>1183</v>
      </c>
      <c r="B184" t="s">
        <v>69</v>
      </c>
      <c r="C184" t="s">
        <v>42</v>
      </c>
      <c r="D184" t="s">
        <v>22</v>
      </c>
      <c r="E184" t="s">
        <v>15</v>
      </c>
      <c r="F184" t="s">
        <v>35</v>
      </c>
      <c r="G184">
        <v>4</v>
      </c>
      <c r="H184">
        <v>3084.16</v>
      </c>
      <c r="I184">
        <v>19</v>
      </c>
      <c r="J184" t="s">
        <v>28</v>
      </c>
      <c r="K184" t="s">
        <v>40</v>
      </c>
      <c r="L184" t="s">
        <v>48</v>
      </c>
    </row>
    <row r="185" spans="1:12" x14ac:dyDescent="0.3">
      <c r="A185">
        <v>1184</v>
      </c>
      <c r="B185" t="s">
        <v>179</v>
      </c>
      <c r="C185" t="s">
        <v>32</v>
      </c>
      <c r="D185" t="s">
        <v>33</v>
      </c>
      <c r="E185" t="s">
        <v>27</v>
      </c>
      <c r="F185" t="s">
        <v>16</v>
      </c>
      <c r="G185">
        <v>1</v>
      </c>
      <c r="H185">
        <v>2704.83</v>
      </c>
      <c r="I185">
        <v>5</v>
      </c>
      <c r="J185" t="s">
        <v>28</v>
      </c>
      <c r="K185" t="s">
        <v>29</v>
      </c>
      <c r="L185" t="s">
        <v>48</v>
      </c>
    </row>
    <row r="186" spans="1:12" x14ac:dyDescent="0.3">
      <c r="A186">
        <v>1185</v>
      </c>
      <c r="B186" t="s">
        <v>161</v>
      </c>
      <c r="C186" t="s">
        <v>21</v>
      </c>
      <c r="D186" t="s">
        <v>14</v>
      </c>
      <c r="E186" t="s">
        <v>15</v>
      </c>
      <c r="F186" t="s">
        <v>38</v>
      </c>
      <c r="G186">
        <v>4</v>
      </c>
      <c r="H186">
        <v>4508.2299999999996</v>
      </c>
      <c r="I186">
        <v>15</v>
      </c>
      <c r="J186" t="s">
        <v>24</v>
      </c>
      <c r="K186" t="s">
        <v>40</v>
      </c>
      <c r="L186" t="s">
        <v>30</v>
      </c>
    </row>
    <row r="187" spans="1:12" x14ac:dyDescent="0.3">
      <c r="A187">
        <v>1186</v>
      </c>
      <c r="B187" t="s">
        <v>194</v>
      </c>
      <c r="C187" t="s">
        <v>32</v>
      </c>
      <c r="D187" t="s">
        <v>37</v>
      </c>
      <c r="E187" t="s">
        <v>34</v>
      </c>
      <c r="F187" t="s">
        <v>35</v>
      </c>
      <c r="G187">
        <v>4</v>
      </c>
      <c r="H187">
        <v>4579.9399999999996</v>
      </c>
      <c r="I187">
        <v>13</v>
      </c>
      <c r="J187" t="s">
        <v>17</v>
      </c>
      <c r="K187" t="s">
        <v>40</v>
      </c>
      <c r="L187" t="s">
        <v>48</v>
      </c>
    </row>
    <row r="188" spans="1:12" x14ac:dyDescent="0.3">
      <c r="A188">
        <v>1187</v>
      </c>
      <c r="B188" t="s">
        <v>155</v>
      </c>
      <c r="C188" t="s">
        <v>65</v>
      </c>
      <c r="D188" t="s">
        <v>14</v>
      </c>
      <c r="E188" t="s">
        <v>27</v>
      </c>
      <c r="F188" t="s">
        <v>44</v>
      </c>
      <c r="G188">
        <v>3</v>
      </c>
      <c r="H188">
        <v>4410.49</v>
      </c>
      <c r="I188">
        <v>6</v>
      </c>
      <c r="J188" t="s">
        <v>24</v>
      </c>
      <c r="K188" t="s">
        <v>18</v>
      </c>
      <c r="L188" t="s">
        <v>19</v>
      </c>
    </row>
    <row r="189" spans="1:12" x14ac:dyDescent="0.3">
      <c r="A189">
        <v>1188</v>
      </c>
      <c r="B189" t="s">
        <v>58</v>
      </c>
      <c r="C189" t="s">
        <v>13</v>
      </c>
      <c r="D189" t="s">
        <v>33</v>
      </c>
      <c r="E189" t="s">
        <v>15</v>
      </c>
      <c r="F189" t="s">
        <v>62</v>
      </c>
      <c r="G189">
        <v>10</v>
      </c>
      <c r="H189">
        <v>3630.58</v>
      </c>
      <c r="I189">
        <v>22</v>
      </c>
      <c r="J189" t="s">
        <v>39</v>
      </c>
      <c r="K189" t="s">
        <v>18</v>
      </c>
      <c r="L189" t="s">
        <v>48</v>
      </c>
    </row>
    <row r="190" spans="1:12" x14ac:dyDescent="0.3">
      <c r="A190">
        <v>1189</v>
      </c>
      <c r="B190" t="s">
        <v>186</v>
      </c>
      <c r="C190" t="s">
        <v>46</v>
      </c>
      <c r="D190" t="s">
        <v>37</v>
      </c>
      <c r="E190" t="s">
        <v>15</v>
      </c>
      <c r="F190" t="s">
        <v>44</v>
      </c>
      <c r="G190">
        <v>7</v>
      </c>
      <c r="H190">
        <v>2934.48</v>
      </c>
      <c r="I190">
        <v>5</v>
      </c>
      <c r="J190" t="s">
        <v>24</v>
      </c>
      <c r="K190" t="s">
        <v>29</v>
      </c>
      <c r="L190" t="s">
        <v>19</v>
      </c>
    </row>
    <row r="191" spans="1:12" x14ac:dyDescent="0.3">
      <c r="A191">
        <v>1190</v>
      </c>
      <c r="B191" t="s">
        <v>195</v>
      </c>
      <c r="C191" t="s">
        <v>13</v>
      </c>
      <c r="D191" t="s">
        <v>37</v>
      </c>
      <c r="E191" t="s">
        <v>34</v>
      </c>
      <c r="F191" t="s">
        <v>23</v>
      </c>
      <c r="G191">
        <v>7</v>
      </c>
      <c r="H191">
        <v>4161.62</v>
      </c>
      <c r="I191">
        <v>28</v>
      </c>
      <c r="J191" t="s">
        <v>28</v>
      </c>
      <c r="K191" t="s">
        <v>29</v>
      </c>
      <c r="L191" t="s">
        <v>48</v>
      </c>
    </row>
    <row r="192" spans="1:12" x14ac:dyDescent="0.3">
      <c r="A192">
        <v>1191</v>
      </c>
      <c r="B192" t="s">
        <v>196</v>
      </c>
      <c r="C192" t="s">
        <v>13</v>
      </c>
      <c r="D192" t="s">
        <v>33</v>
      </c>
      <c r="E192" t="s">
        <v>27</v>
      </c>
      <c r="F192" t="s">
        <v>62</v>
      </c>
      <c r="G192">
        <v>9</v>
      </c>
      <c r="H192">
        <v>1314.64</v>
      </c>
      <c r="I192">
        <v>13</v>
      </c>
      <c r="J192" t="s">
        <v>28</v>
      </c>
      <c r="K192" t="s">
        <v>18</v>
      </c>
      <c r="L192" t="s">
        <v>48</v>
      </c>
    </row>
    <row r="193" spans="1:12" x14ac:dyDescent="0.3">
      <c r="A193">
        <v>1192</v>
      </c>
      <c r="B193" t="s">
        <v>196</v>
      </c>
      <c r="C193" t="s">
        <v>52</v>
      </c>
      <c r="D193" t="s">
        <v>22</v>
      </c>
      <c r="E193" t="s">
        <v>27</v>
      </c>
      <c r="F193" t="s">
        <v>38</v>
      </c>
      <c r="G193">
        <v>5</v>
      </c>
      <c r="H193">
        <v>177.21</v>
      </c>
      <c r="I193">
        <v>8</v>
      </c>
      <c r="J193" t="s">
        <v>39</v>
      </c>
      <c r="K193" t="s">
        <v>29</v>
      </c>
      <c r="L193" t="s">
        <v>48</v>
      </c>
    </row>
    <row r="194" spans="1:12" x14ac:dyDescent="0.3">
      <c r="A194">
        <v>1193</v>
      </c>
      <c r="B194" t="s">
        <v>197</v>
      </c>
      <c r="C194" t="s">
        <v>32</v>
      </c>
      <c r="D194" t="s">
        <v>22</v>
      </c>
      <c r="E194" t="s">
        <v>15</v>
      </c>
      <c r="F194" t="s">
        <v>44</v>
      </c>
      <c r="G194">
        <v>5</v>
      </c>
      <c r="H194">
        <v>2369.61</v>
      </c>
      <c r="I194">
        <v>4</v>
      </c>
      <c r="J194" t="s">
        <v>17</v>
      </c>
      <c r="K194" t="s">
        <v>40</v>
      </c>
      <c r="L194" t="s">
        <v>19</v>
      </c>
    </row>
    <row r="195" spans="1:12" x14ac:dyDescent="0.3">
      <c r="A195">
        <v>1194</v>
      </c>
      <c r="B195" t="s">
        <v>198</v>
      </c>
      <c r="C195" t="s">
        <v>13</v>
      </c>
      <c r="D195" t="s">
        <v>47</v>
      </c>
      <c r="E195" t="s">
        <v>34</v>
      </c>
      <c r="F195" t="s">
        <v>44</v>
      </c>
      <c r="G195">
        <v>1</v>
      </c>
      <c r="H195">
        <v>1629.91</v>
      </c>
      <c r="I195">
        <v>20</v>
      </c>
      <c r="J195" t="s">
        <v>39</v>
      </c>
      <c r="K195" t="s">
        <v>18</v>
      </c>
      <c r="L195" t="s">
        <v>19</v>
      </c>
    </row>
    <row r="196" spans="1:12" x14ac:dyDescent="0.3">
      <c r="A196">
        <v>1195</v>
      </c>
      <c r="B196" t="s">
        <v>45</v>
      </c>
      <c r="C196" t="s">
        <v>13</v>
      </c>
      <c r="D196" t="s">
        <v>22</v>
      </c>
      <c r="E196" t="s">
        <v>27</v>
      </c>
      <c r="F196" t="s">
        <v>38</v>
      </c>
      <c r="G196">
        <v>4</v>
      </c>
      <c r="H196">
        <v>1119.33</v>
      </c>
      <c r="I196">
        <v>28</v>
      </c>
      <c r="J196" t="s">
        <v>17</v>
      </c>
      <c r="K196" t="s">
        <v>29</v>
      </c>
      <c r="L196" t="s">
        <v>30</v>
      </c>
    </row>
    <row r="197" spans="1:12" x14ac:dyDescent="0.3">
      <c r="A197">
        <v>1196</v>
      </c>
      <c r="B197" t="s">
        <v>199</v>
      </c>
      <c r="C197" t="s">
        <v>46</v>
      </c>
      <c r="D197" t="s">
        <v>47</v>
      </c>
      <c r="E197" t="s">
        <v>15</v>
      </c>
      <c r="F197" t="s">
        <v>16</v>
      </c>
      <c r="G197">
        <v>4</v>
      </c>
      <c r="H197">
        <v>2554.3000000000002</v>
      </c>
      <c r="I197">
        <v>21</v>
      </c>
      <c r="J197" t="s">
        <v>39</v>
      </c>
      <c r="K197" t="s">
        <v>29</v>
      </c>
      <c r="L197" t="s">
        <v>19</v>
      </c>
    </row>
    <row r="198" spans="1:12" x14ac:dyDescent="0.3">
      <c r="A198">
        <v>1197</v>
      </c>
      <c r="B198" t="s">
        <v>99</v>
      </c>
      <c r="C198" t="s">
        <v>52</v>
      </c>
      <c r="D198" t="s">
        <v>22</v>
      </c>
      <c r="E198" t="s">
        <v>34</v>
      </c>
      <c r="F198" t="s">
        <v>35</v>
      </c>
      <c r="G198">
        <v>1</v>
      </c>
      <c r="H198">
        <v>3746.4</v>
      </c>
      <c r="I198">
        <v>20</v>
      </c>
      <c r="J198" t="s">
        <v>28</v>
      </c>
      <c r="K198" t="s">
        <v>29</v>
      </c>
      <c r="L198" t="s">
        <v>19</v>
      </c>
    </row>
    <row r="199" spans="1:12" x14ac:dyDescent="0.3">
      <c r="A199">
        <v>1198</v>
      </c>
      <c r="B199" t="s">
        <v>200</v>
      </c>
      <c r="C199" t="s">
        <v>46</v>
      </c>
      <c r="D199" t="s">
        <v>37</v>
      </c>
      <c r="E199" t="s">
        <v>15</v>
      </c>
      <c r="F199" t="s">
        <v>23</v>
      </c>
      <c r="G199">
        <v>4</v>
      </c>
      <c r="H199">
        <v>1306.6400000000001</v>
      </c>
      <c r="I199">
        <v>5</v>
      </c>
      <c r="J199" t="s">
        <v>24</v>
      </c>
      <c r="K199" t="s">
        <v>40</v>
      </c>
      <c r="L199" t="s">
        <v>19</v>
      </c>
    </row>
    <row r="200" spans="1:12" x14ac:dyDescent="0.3">
      <c r="A200">
        <v>1199</v>
      </c>
      <c r="B200" t="s">
        <v>201</v>
      </c>
      <c r="C200" t="s">
        <v>54</v>
      </c>
      <c r="D200" t="s">
        <v>33</v>
      </c>
      <c r="E200" t="s">
        <v>27</v>
      </c>
      <c r="F200" t="s">
        <v>23</v>
      </c>
      <c r="G200">
        <v>4</v>
      </c>
      <c r="H200">
        <v>3705.86</v>
      </c>
      <c r="I200">
        <v>19</v>
      </c>
      <c r="J200" t="s">
        <v>17</v>
      </c>
      <c r="K200" t="s">
        <v>40</v>
      </c>
      <c r="L200" t="s">
        <v>48</v>
      </c>
    </row>
    <row r="201" spans="1:12" x14ac:dyDescent="0.3">
      <c r="A201">
        <v>1200</v>
      </c>
      <c r="B201" t="s">
        <v>179</v>
      </c>
      <c r="C201" t="s">
        <v>54</v>
      </c>
      <c r="D201" t="s">
        <v>47</v>
      </c>
      <c r="E201" t="s">
        <v>15</v>
      </c>
      <c r="F201" t="s">
        <v>23</v>
      </c>
      <c r="G201">
        <v>7</v>
      </c>
      <c r="H201">
        <v>2184.86</v>
      </c>
      <c r="I201">
        <v>22</v>
      </c>
      <c r="J201" t="s">
        <v>24</v>
      </c>
      <c r="K201" t="s">
        <v>40</v>
      </c>
      <c r="L201" t="s">
        <v>30</v>
      </c>
    </row>
    <row r="202" spans="1:12" x14ac:dyDescent="0.3">
      <c r="A202">
        <v>1201</v>
      </c>
      <c r="B202" t="s">
        <v>202</v>
      </c>
      <c r="C202" t="s">
        <v>52</v>
      </c>
      <c r="D202" t="s">
        <v>47</v>
      </c>
      <c r="E202" t="s">
        <v>15</v>
      </c>
      <c r="F202" t="s">
        <v>44</v>
      </c>
      <c r="G202">
        <v>5</v>
      </c>
      <c r="H202">
        <v>1753.1</v>
      </c>
      <c r="I202">
        <v>20</v>
      </c>
      <c r="J202" t="s">
        <v>24</v>
      </c>
      <c r="K202" t="s">
        <v>40</v>
      </c>
      <c r="L202" t="s">
        <v>19</v>
      </c>
    </row>
    <row r="203" spans="1:12" x14ac:dyDescent="0.3">
      <c r="A203">
        <v>1202</v>
      </c>
      <c r="B203" t="s">
        <v>203</v>
      </c>
      <c r="C203" t="s">
        <v>65</v>
      </c>
      <c r="D203" t="s">
        <v>22</v>
      </c>
      <c r="E203" t="s">
        <v>27</v>
      </c>
      <c r="F203" t="s">
        <v>38</v>
      </c>
      <c r="G203">
        <v>8</v>
      </c>
      <c r="H203">
        <v>3143.06</v>
      </c>
      <c r="I203">
        <v>7</v>
      </c>
      <c r="J203" t="s">
        <v>17</v>
      </c>
      <c r="K203" t="s">
        <v>40</v>
      </c>
      <c r="L203" t="s">
        <v>19</v>
      </c>
    </row>
    <row r="204" spans="1:12" x14ac:dyDescent="0.3">
      <c r="A204">
        <v>1203</v>
      </c>
      <c r="B204" t="s">
        <v>204</v>
      </c>
      <c r="C204" t="s">
        <v>42</v>
      </c>
      <c r="D204" t="s">
        <v>22</v>
      </c>
      <c r="E204" t="s">
        <v>27</v>
      </c>
      <c r="F204" t="s">
        <v>62</v>
      </c>
      <c r="G204">
        <v>2</v>
      </c>
      <c r="H204">
        <v>140.54</v>
      </c>
      <c r="I204">
        <v>26</v>
      </c>
      <c r="J204" t="s">
        <v>39</v>
      </c>
      <c r="K204" t="s">
        <v>40</v>
      </c>
      <c r="L204" t="s">
        <v>19</v>
      </c>
    </row>
    <row r="205" spans="1:12" x14ac:dyDescent="0.3">
      <c r="A205">
        <v>1204</v>
      </c>
      <c r="B205" t="s">
        <v>205</v>
      </c>
      <c r="C205" t="s">
        <v>21</v>
      </c>
      <c r="D205" t="s">
        <v>47</v>
      </c>
      <c r="E205" t="s">
        <v>27</v>
      </c>
      <c r="F205" t="s">
        <v>16</v>
      </c>
      <c r="G205">
        <v>5</v>
      </c>
      <c r="H205">
        <v>4701.0200000000004</v>
      </c>
      <c r="I205">
        <v>6</v>
      </c>
      <c r="J205" t="s">
        <v>39</v>
      </c>
      <c r="K205" t="s">
        <v>18</v>
      </c>
      <c r="L205" t="s">
        <v>48</v>
      </c>
    </row>
    <row r="206" spans="1:12" x14ac:dyDescent="0.3">
      <c r="A206">
        <v>1205</v>
      </c>
      <c r="B206" t="s">
        <v>206</v>
      </c>
      <c r="C206" t="s">
        <v>54</v>
      </c>
      <c r="D206" t="s">
        <v>14</v>
      </c>
      <c r="E206" t="s">
        <v>15</v>
      </c>
      <c r="F206" t="s">
        <v>44</v>
      </c>
      <c r="G206">
        <v>1</v>
      </c>
      <c r="H206">
        <v>2840.21</v>
      </c>
      <c r="I206">
        <v>13</v>
      </c>
      <c r="J206" t="s">
        <v>39</v>
      </c>
      <c r="K206" t="s">
        <v>40</v>
      </c>
      <c r="L206" t="s">
        <v>19</v>
      </c>
    </row>
    <row r="207" spans="1:12" x14ac:dyDescent="0.3">
      <c r="A207">
        <v>1206</v>
      </c>
      <c r="B207" t="s">
        <v>207</v>
      </c>
      <c r="C207" t="s">
        <v>42</v>
      </c>
      <c r="D207" t="s">
        <v>37</v>
      </c>
      <c r="E207" t="s">
        <v>27</v>
      </c>
      <c r="F207" t="s">
        <v>23</v>
      </c>
      <c r="G207">
        <v>8</v>
      </c>
      <c r="H207">
        <v>4548.5600000000004</v>
      </c>
      <c r="I207">
        <v>18</v>
      </c>
      <c r="J207" t="s">
        <v>28</v>
      </c>
      <c r="K207" t="s">
        <v>29</v>
      </c>
      <c r="L207" t="s">
        <v>48</v>
      </c>
    </row>
    <row r="208" spans="1:12" x14ac:dyDescent="0.3">
      <c r="A208">
        <v>1207</v>
      </c>
      <c r="B208" t="s">
        <v>208</v>
      </c>
      <c r="C208" t="s">
        <v>13</v>
      </c>
      <c r="D208" t="s">
        <v>33</v>
      </c>
      <c r="E208" t="s">
        <v>34</v>
      </c>
      <c r="F208" t="s">
        <v>35</v>
      </c>
      <c r="G208">
        <v>3</v>
      </c>
      <c r="H208">
        <v>1999.98</v>
      </c>
      <c r="I208">
        <v>30</v>
      </c>
      <c r="J208" t="s">
        <v>17</v>
      </c>
      <c r="K208" t="s">
        <v>29</v>
      </c>
      <c r="L208" t="s">
        <v>48</v>
      </c>
    </row>
    <row r="209" spans="1:12" x14ac:dyDescent="0.3">
      <c r="A209">
        <v>1208</v>
      </c>
      <c r="B209" t="s">
        <v>209</v>
      </c>
      <c r="C209" t="s">
        <v>46</v>
      </c>
      <c r="D209" t="s">
        <v>22</v>
      </c>
      <c r="E209" t="s">
        <v>15</v>
      </c>
      <c r="F209" t="s">
        <v>16</v>
      </c>
      <c r="G209">
        <v>10</v>
      </c>
      <c r="H209">
        <v>259.08</v>
      </c>
      <c r="I209">
        <v>17</v>
      </c>
      <c r="J209" t="s">
        <v>24</v>
      </c>
      <c r="K209" t="s">
        <v>18</v>
      </c>
      <c r="L209" t="s">
        <v>30</v>
      </c>
    </row>
    <row r="210" spans="1:12" x14ac:dyDescent="0.3">
      <c r="A210">
        <v>1209</v>
      </c>
      <c r="B210" t="s">
        <v>210</v>
      </c>
      <c r="C210" t="s">
        <v>65</v>
      </c>
      <c r="D210" t="s">
        <v>37</v>
      </c>
      <c r="E210" t="s">
        <v>27</v>
      </c>
      <c r="F210" t="s">
        <v>16</v>
      </c>
      <c r="G210">
        <v>7</v>
      </c>
      <c r="H210">
        <v>1478.34</v>
      </c>
      <c r="I210">
        <v>17</v>
      </c>
      <c r="J210" t="s">
        <v>28</v>
      </c>
      <c r="K210" t="s">
        <v>29</v>
      </c>
      <c r="L210" t="s">
        <v>30</v>
      </c>
    </row>
    <row r="211" spans="1:12" x14ac:dyDescent="0.3">
      <c r="A211">
        <v>1210</v>
      </c>
      <c r="B211" t="s">
        <v>146</v>
      </c>
      <c r="C211" t="s">
        <v>52</v>
      </c>
      <c r="D211" t="s">
        <v>47</v>
      </c>
      <c r="E211" t="s">
        <v>27</v>
      </c>
      <c r="F211" t="s">
        <v>35</v>
      </c>
      <c r="G211">
        <v>3</v>
      </c>
      <c r="H211">
        <v>881.92</v>
      </c>
      <c r="I211">
        <v>1</v>
      </c>
      <c r="J211" t="s">
        <v>39</v>
      </c>
      <c r="K211" t="s">
        <v>40</v>
      </c>
      <c r="L211" t="s">
        <v>30</v>
      </c>
    </row>
    <row r="212" spans="1:12" x14ac:dyDescent="0.3">
      <c r="A212">
        <v>1211</v>
      </c>
      <c r="B212" t="s">
        <v>211</v>
      </c>
      <c r="C212" t="s">
        <v>42</v>
      </c>
      <c r="D212" t="s">
        <v>47</v>
      </c>
      <c r="E212" t="s">
        <v>27</v>
      </c>
      <c r="F212" t="s">
        <v>35</v>
      </c>
      <c r="G212">
        <v>5</v>
      </c>
      <c r="H212">
        <v>1984.22</v>
      </c>
      <c r="I212">
        <v>14</v>
      </c>
      <c r="J212" t="s">
        <v>24</v>
      </c>
      <c r="K212" t="s">
        <v>18</v>
      </c>
      <c r="L212" t="s">
        <v>19</v>
      </c>
    </row>
    <row r="213" spans="1:12" x14ac:dyDescent="0.3">
      <c r="A213">
        <v>1212</v>
      </c>
      <c r="B213" t="s">
        <v>167</v>
      </c>
      <c r="C213" t="s">
        <v>13</v>
      </c>
      <c r="D213" t="s">
        <v>22</v>
      </c>
      <c r="E213" t="s">
        <v>34</v>
      </c>
      <c r="F213" t="s">
        <v>23</v>
      </c>
      <c r="G213">
        <v>10</v>
      </c>
      <c r="H213">
        <v>1178.79</v>
      </c>
      <c r="I213">
        <v>28</v>
      </c>
      <c r="J213" t="s">
        <v>39</v>
      </c>
      <c r="K213" t="s">
        <v>29</v>
      </c>
      <c r="L213" t="s">
        <v>30</v>
      </c>
    </row>
    <row r="214" spans="1:12" x14ac:dyDescent="0.3">
      <c r="A214">
        <v>1213</v>
      </c>
      <c r="B214" t="s">
        <v>212</v>
      </c>
      <c r="C214" t="s">
        <v>21</v>
      </c>
      <c r="D214" t="s">
        <v>33</v>
      </c>
      <c r="E214" t="s">
        <v>27</v>
      </c>
      <c r="F214" t="s">
        <v>62</v>
      </c>
      <c r="G214">
        <v>2</v>
      </c>
      <c r="H214">
        <v>509.71</v>
      </c>
      <c r="I214">
        <v>24</v>
      </c>
      <c r="J214" t="s">
        <v>39</v>
      </c>
      <c r="K214" t="s">
        <v>18</v>
      </c>
      <c r="L214" t="s">
        <v>30</v>
      </c>
    </row>
    <row r="215" spans="1:12" x14ac:dyDescent="0.3">
      <c r="A215">
        <v>1214</v>
      </c>
      <c r="B215" t="s">
        <v>130</v>
      </c>
      <c r="C215" t="s">
        <v>54</v>
      </c>
      <c r="D215" t="s">
        <v>22</v>
      </c>
      <c r="E215" t="s">
        <v>15</v>
      </c>
      <c r="F215" t="s">
        <v>62</v>
      </c>
      <c r="G215">
        <v>7</v>
      </c>
      <c r="H215">
        <v>2990.56</v>
      </c>
      <c r="I215">
        <v>16</v>
      </c>
      <c r="J215" t="s">
        <v>28</v>
      </c>
      <c r="K215" t="s">
        <v>29</v>
      </c>
      <c r="L215" t="s">
        <v>48</v>
      </c>
    </row>
    <row r="216" spans="1:12" x14ac:dyDescent="0.3">
      <c r="A216">
        <v>1215</v>
      </c>
      <c r="B216" t="s">
        <v>213</v>
      </c>
      <c r="C216" t="s">
        <v>13</v>
      </c>
      <c r="D216" t="s">
        <v>22</v>
      </c>
      <c r="E216" t="s">
        <v>27</v>
      </c>
      <c r="F216" t="s">
        <v>44</v>
      </c>
      <c r="G216">
        <v>10</v>
      </c>
      <c r="H216">
        <v>245.29</v>
      </c>
      <c r="I216">
        <v>7</v>
      </c>
      <c r="J216" t="s">
        <v>28</v>
      </c>
      <c r="K216" t="s">
        <v>40</v>
      </c>
      <c r="L216" t="s">
        <v>48</v>
      </c>
    </row>
    <row r="217" spans="1:12" x14ac:dyDescent="0.3">
      <c r="A217">
        <v>1216</v>
      </c>
      <c r="B217" t="s">
        <v>214</v>
      </c>
      <c r="C217" t="s">
        <v>65</v>
      </c>
      <c r="D217" t="s">
        <v>37</v>
      </c>
      <c r="E217" t="s">
        <v>15</v>
      </c>
      <c r="F217" t="s">
        <v>35</v>
      </c>
      <c r="G217">
        <v>8</v>
      </c>
      <c r="H217">
        <v>4919.93</v>
      </c>
      <c r="I217">
        <v>26</v>
      </c>
      <c r="J217" t="s">
        <v>28</v>
      </c>
      <c r="K217" t="s">
        <v>29</v>
      </c>
      <c r="L217" t="s">
        <v>30</v>
      </c>
    </row>
    <row r="218" spans="1:12" x14ac:dyDescent="0.3">
      <c r="A218">
        <v>1217</v>
      </c>
      <c r="B218" t="s">
        <v>215</v>
      </c>
      <c r="C218" t="s">
        <v>21</v>
      </c>
      <c r="D218" t="s">
        <v>47</v>
      </c>
      <c r="E218" t="s">
        <v>34</v>
      </c>
      <c r="F218" t="s">
        <v>16</v>
      </c>
      <c r="G218">
        <v>4</v>
      </c>
      <c r="H218">
        <v>1956.4</v>
      </c>
      <c r="I218">
        <v>23</v>
      </c>
      <c r="J218" t="s">
        <v>28</v>
      </c>
      <c r="K218" t="s">
        <v>29</v>
      </c>
      <c r="L218" t="s">
        <v>19</v>
      </c>
    </row>
    <row r="219" spans="1:12" x14ac:dyDescent="0.3">
      <c r="A219">
        <v>1218</v>
      </c>
      <c r="B219" t="s">
        <v>123</v>
      </c>
      <c r="C219" t="s">
        <v>52</v>
      </c>
      <c r="D219" t="s">
        <v>22</v>
      </c>
      <c r="E219" t="s">
        <v>15</v>
      </c>
      <c r="F219" t="s">
        <v>35</v>
      </c>
      <c r="G219">
        <v>5</v>
      </c>
      <c r="H219">
        <v>1549.68</v>
      </c>
      <c r="I219">
        <v>29</v>
      </c>
      <c r="J219" t="s">
        <v>39</v>
      </c>
      <c r="K219" t="s">
        <v>18</v>
      </c>
      <c r="L219" t="s">
        <v>48</v>
      </c>
    </row>
    <row r="220" spans="1:12" x14ac:dyDescent="0.3">
      <c r="A220">
        <v>1219</v>
      </c>
      <c r="B220" t="s">
        <v>216</v>
      </c>
      <c r="C220" t="s">
        <v>21</v>
      </c>
      <c r="D220" t="s">
        <v>14</v>
      </c>
      <c r="E220" t="s">
        <v>15</v>
      </c>
      <c r="F220" t="s">
        <v>35</v>
      </c>
      <c r="G220">
        <v>7</v>
      </c>
      <c r="H220">
        <v>559.86</v>
      </c>
      <c r="I220">
        <v>7</v>
      </c>
      <c r="J220" t="s">
        <v>28</v>
      </c>
      <c r="K220" t="s">
        <v>18</v>
      </c>
      <c r="L220" t="s">
        <v>48</v>
      </c>
    </row>
    <row r="221" spans="1:12" x14ac:dyDescent="0.3">
      <c r="A221">
        <v>1220</v>
      </c>
      <c r="B221" t="s">
        <v>217</v>
      </c>
      <c r="C221" t="s">
        <v>21</v>
      </c>
      <c r="D221" t="s">
        <v>47</v>
      </c>
      <c r="E221" t="s">
        <v>27</v>
      </c>
      <c r="F221" t="s">
        <v>16</v>
      </c>
      <c r="G221">
        <v>6</v>
      </c>
      <c r="H221">
        <v>959.34</v>
      </c>
      <c r="I221">
        <v>18</v>
      </c>
      <c r="J221" t="s">
        <v>28</v>
      </c>
      <c r="K221" t="s">
        <v>40</v>
      </c>
      <c r="L221" t="s">
        <v>30</v>
      </c>
    </row>
    <row r="222" spans="1:12" x14ac:dyDescent="0.3">
      <c r="A222">
        <v>1221</v>
      </c>
      <c r="B222" t="s">
        <v>218</v>
      </c>
      <c r="C222" t="s">
        <v>13</v>
      </c>
      <c r="D222" t="s">
        <v>22</v>
      </c>
      <c r="E222" t="s">
        <v>15</v>
      </c>
      <c r="F222" t="s">
        <v>16</v>
      </c>
      <c r="G222">
        <v>9</v>
      </c>
      <c r="H222">
        <v>4993.1000000000004</v>
      </c>
      <c r="I222">
        <v>9</v>
      </c>
      <c r="J222" t="s">
        <v>24</v>
      </c>
      <c r="K222" t="s">
        <v>29</v>
      </c>
      <c r="L222" t="s">
        <v>19</v>
      </c>
    </row>
    <row r="223" spans="1:12" x14ac:dyDescent="0.3">
      <c r="A223">
        <v>1222</v>
      </c>
      <c r="B223" t="s">
        <v>127</v>
      </c>
      <c r="C223" t="s">
        <v>21</v>
      </c>
      <c r="D223" t="s">
        <v>33</v>
      </c>
      <c r="E223" t="s">
        <v>34</v>
      </c>
      <c r="F223" t="s">
        <v>44</v>
      </c>
      <c r="G223">
        <v>7</v>
      </c>
      <c r="H223">
        <v>4144.79</v>
      </c>
      <c r="I223">
        <v>13</v>
      </c>
      <c r="J223" t="s">
        <v>39</v>
      </c>
      <c r="K223" t="s">
        <v>29</v>
      </c>
      <c r="L223" t="s">
        <v>19</v>
      </c>
    </row>
    <row r="224" spans="1:12" x14ac:dyDescent="0.3">
      <c r="A224">
        <v>1223</v>
      </c>
      <c r="B224" t="s">
        <v>219</v>
      </c>
      <c r="C224" t="s">
        <v>65</v>
      </c>
      <c r="D224" t="s">
        <v>14</v>
      </c>
      <c r="E224" t="s">
        <v>27</v>
      </c>
      <c r="F224" t="s">
        <v>38</v>
      </c>
      <c r="G224">
        <v>8</v>
      </c>
      <c r="H224">
        <v>1111.1500000000001</v>
      </c>
      <c r="I224">
        <v>21</v>
      </c>
      <c r="J224" t="s">
        <v>28</v>
      </c>
      <c r="K224" t="s">
        <v>29</v>
      </c>
      <c r="L224" t="s">
        <v>30</v>
      </c>
    </row>
    <row r="225" spans="1:12" x14ac:dyDescent="0.3">
      <c r="A225">
        <v>1224</v>
      </c>
      <c r="B225" t="s">
        <v>148</v>
      </c>
      <c r="C225" t="s">
        <v>65</v>
      </c>
      <c r="D225" t="s">
        <v>37</v>
      </c>
      <c r="E225" t="s">
        <v>27</v>
      </c>
      <c r="F225" t="s">
        <v>44</v>
      </c>
      <c r="G225">
        <v>2</v>
      </c>
      <c r="H225">
        <v>2100.9499999999998</v>
      </c>
      <c r="I225">
        <v>8</v>
      </c>
      <c r="J225" t="s">
        <v>17</v>
      </c>
      <c r="K225" t="s">
        <v>40</v>
      </c>
      <c r="L225" t="s">
        <v>30</v>
      </c>
    </row>
    <row r="226" spans="1:12" x14ac:dyDescent="0.3">
      <c r="A226">
        <v>1225</v>
      </c>
      <c r="B226" t="s">
        <v>174</v>
      </c>
      <c r="C226" t="s">
        <v>65</v>
      </c>
      <c r="D226" t="s">
        <v>37</v>
      </c>
      <c r="E226" t="s">
        <v>34</v>
      </c>
      <c r="F226" t="s">
        <v>16</v>
      </c>
      <c r="G226">
        <v>10</v>
      </c>
      <c r="H226">
        <v>952.36</v>
      </c>
      <c r="I226">
        <v>24</v>
      </c>
      <c r="J226" t="s">
        <v>39</v>
      </c>
      <c r="K226" t="s">
        <v>40</v>
      </c>
      <c r="L226" t="s">
        <v>30</v>
      </c>
    </row>
    <row r="227" spans="1:12" x14ac:dyDescent="0.3">
      <c r="A227">
        <v>1226</v>
      </c>
      <c r="B227" t="s">
        <v>220</v>
      </c>
      <c r="C227" t="s">
        <v>46</v>
      </c>
      <c r="D227" t="s">
        <v>47</v>
      </c>
      <c r="E227" t="s">
        <v>34</v>
      </c>
      <c r="F227" t="s">
        <v>23</v>
      </c>
      <c r="G227">
        <v>10</v>
      </c>
      <c r="H227">
        <v>3460.76</v>
      </c>
      <c r="I227">
        <v>16</v>
      </c>
      <c r="J227" t="s">
        <v>24</v>
      </c>
      <c r="K227" t="s">
        <v>18</v>
      </c>
      <c r="L227" t="s">
        <v>48</v>
      </c>
    </row>
    <row r="228" spans="1:12" x14ac:dyDescent="0.3">
      <c r="A228">
        <v>1227</v>
      </c>
      <c r="B228" t="s">
        <v>216</v>
      </c>
      <c r="C228" t="s">
        <v>13</v>
      </c>
      <c r="D228" t="s">
        <v>33</v>
      </c>
      <c r="E228" t="s">
        <v>27</v>
      </c>
      <c r="F228" t="s">
        <v>16</v>
      </c>
      <c r="G228">
        <v>3</v>
      </c>
      <c r="H228">
        <v>1425.62</v>
      </c>
      <c r="I228">
        <v>10</v>
      </c>
      <c r="J228" t="s">
        <v>24</v>
      </c>
      <c r="K228" t="s">
        <v>40</v>
      </c>
      <c r="L228" t="s">
        <v>19</v>
      </c>
    </row>
    <row r="229" spans="1:12" x14ac:dyDescent="0.3">
      <c r="A229">
        <v>1228</v>
      </c>
      <c r="B229" t="s">
        <v>221</v>
      </c>
      <c r="C229" t="s">
        <v>46</v>
      </c>
      <c r="D229" t="s">
        <v>37</v>
      </c>
      <c r="E229" t="s">
        <v>34</v>
      </c>
      <c r="F229" t="s">
        <v>23</v>
      </c>
      <c r="G229">
        <v>4</v>
      </c>
      <c r="H229">
        <v>2291.06</v>
      </c>
      <c r="I229">
        <v>22</v>
      </c>
      <c r="J229" t="s">
        <v>28</v>
      </c>
      <c r="K229" t="s">
        <v>29</v>
      </c>
      <c r="L229" t="s">
        <v>30</v>
      </c>
    </row>
    <row r="230" spans="1:12" x14ac:dyDescent="0.3">
      <c r="A230">
        <v>1229</v>
      </c>
      <c r="B230" t="s">
        <v>222</v>
      </c>
      <c r="C230" t="s">
        <v>32</v>
      </c>
      <c r="D230" t="s">
        <v>14</v>
      </c>
      <c r="E230" t="s">
        <v>15</v>
      </c>
      <c r="F230" t="s">
        <v>38</v>
      </c>
      <c r="G230">
        <v>8</v>
      </c>
      <c r="H230">
        <v>4390.3</v>
      </c>
      <c r="I230">
        <v>12</v>
      </c>
      <c r="J230" t="s">
        <v>24</v>
      </c>
      <c r="K230" t="s">
        <v>40</v>
      </c>
      <c r="L230" t="s">
        <v>19</v>
      </c>
    </row>
    <row r="231" spans="1:12" x14ac:dyDescent="0.3">
      <c r="A231">
        <v>1230</v>
      </c>
      <c r="B231" t="s">
        <v>223</v>
      </c>
      <c r="C231" t="s">
        <v>65</v>
      </c>
      <c r="D231" t="s">
        <v>47</v>
      </c>
      <c r="E231" t="s">
        <v>27</v>
      </c>
      <c r="F231" t="s">
        <v>62</v>
      </c>
      <c r="G231">
        <v>5</v>
      </c>
      <c r="H231">
        <v>3099.96</v>
      </c>
      <c r="I231">
        <v>0</v>
      </c>
      <c r="J231" t="s">
        <v>28</v>
      </c>
      <c r="K231" t="s">
        <v>29</v>
      </c>
      <c r="L231" t="s">
        <v>48</v>
      </c>
    </row>
    <row r="232" spans="1:12" x14ac:dyDescent="0.3">
      <c r="A232">
        <v>1231</v>
      </c>
      <c r="B232" t="s">
        <v>224</v>
      </c>
      <c r="C232" t="s">
        <v>65</v>
      </c>
      <c r="D232" t="s">
        <v>37</v>
      </c>
      <c r="E232" t="s">
        <v>15</v>
      </c>
      <c r="F232" t="s">
        <v>23</v>
      </c>
      <c r="G232">
        <v>10</v>
      </c>
      <c r="H232">
        <v>3193.28</v>
      </c>
      <c r="I232">
        <v>16</v>
      </c>
      <c r="J232" t="s">
        <v>17</v>
      </c>
      <c r="K232" t="s">
        <v>29</v>
      </c>
      <c r="L232" t="s">
        <v>48</v>
      </c>
    </row>
    <row r="233" spans="1:12" x14ac:dyDescent="0.3">
      <c r="A233">
        <v>1232</v>
      </c>
      <c r="B233" t="s">
        <v>225</v>
      </c>
      <c r="C233" t="s">
        <v>13</v>
      </c>
      <c r="D233" t="s">
        <v>33</v>
      </c>
      <c r="E233" t="s">
        <v>15</v>
      </c>
      <c r="F233" t="s">
        <v>62</v>
      </c>
      <c r="G233">
        <v>7</v>
      </c>
      <c r="H233">
        <v>673.19</v>
      </c>
      <c r="I233">
        <v>8</v>
      </c>
      <c r="J233" t="s">
        <v>24</v>
      </c>
      <c r="K233" t="s">
        <v>29</v>
      </c>
      <c r="L233" t="s">
        <v>48</v>
      </c>
    </row>
    <row r="234" spans="1:12" x14ac:dyDescent="0.3">
      <c r="A234">
        <v>1233</v>
      </c>
      <c r="B234" t="s">
        <v>226</v>
      </c>
      <c r="C234" t="s">
        <v>42</v>
      </c>
      <c r="D234" t="s">
        <v>37</v>
      </c>
      <c r="E234" t="s">
        <v>27</v>
      </c>
      <c r="F234" t="s">
        <v>44</v>
      </c>
      <c r="G234">
        <v>4</v>
      </c>
      <c r="H234">
        <v>4891.68</v>
      </c>
      <c r="I234">
        <v>26</v>
      </c>
      <c r="J234" t="s">
        <v>28</v>
      </c>
      <c r="K234" t="s">
        <v>18</v>
      </c>
      <c r="L234" t="s">
        <v>30</v>
      </c>
    </row>
    <row r="235" spans="1:12" x14ac:dyDescent="0.3">
      <c r="A235">
        <v>1234</v>
      </c>
      <c r="B235" t="s">
        <v>144</v>
      </c>
      <c r="C235" t="s">
        <v>54</v>
      </c>
      <c r="D235" t="s">
        <v>37</v>
      </c>
      <c r="E235" t="s">
        <v>15</v>
      </c>
      <c r="F235" t="s">
        <v>35</v>
      </c>
      <c r="G235">
        <v>10</v>
      </c>
      <c r="H235">
        <v>1597</v>
      </c>
      <c r="I235">
        <v>16</v>
      </c>
      <c r="J235" t="s">
        <v>17</v>
      </c>
      <c r="K235" t="s">
        <v>40</v>
      </c>
      <c r="L235" t="s">
        <v>48</v>
      </c>
    </row>
    <row r="236" spans="1:12" x14ac:dyDescent="0.3">
      <c r="A236">
        <v>1235</v>
      </c>
      <c r="B236" t="s">
        <v>104</v>
      </c>
      <c r="C236" t="s">
        <v>54</v>
      </c>
      <c r="D236" t="s">
        <v>33</v>
      </c>
      <c r="E236" t="s">
        <v>27</v>
      </c>
      <c r="F236" t="s">
        <v>23</v>
      </c>
      <c r="G236">
        <v>4</v>
      </c>
      <c r="H236">
        <v>4641.18</v>
      </c>
      <c r="I236">
        <v>15</v>
      </c>
      <c r="J236" t="s">
        <v>28</v>
      </c>
      <c r="K236" t="s">
        <v>29</v>
      </c>
      <c r="L236" t="s">
        <v>48</v>
      </c>
    </row>
    <row r="237" spans="1:12" x14ac:dyDescent="0.3">
      <c r="A237">
        <v>1236</v>
      </c>
      <c r="B237" t="s">
        <v>67</v>
      </c>
      <c r="C237" t="s">
        <v>54</v>
      </c>
      <c r="D237" t="s">
        <v>33</v>
      </c>
      <c r="E237" t="s">
        <v>15</v>
      </c>
      <c r="F237" t="s">
        <v>38</v>
      </c>
      <c r="G237">
        <v>8</v>
      </c>
      <c r="H237">
        <v>3343.06</v>
      </c>
      <c r="I237">
        <v>28</v>
      </c>
      <c r="J237" t="s">
        <v>28</v>
      </c>
      <c r="K237" t="s">
        <v>18</v>
      </c>
      <c r="L237" t="s">
        <v>30</v>
      </c>
    </row>
    <row r="238" spans="1:12" x14ac:dyDescent="0.3">
      <c r="A238">
        <v>1237</v>
      </c>
      <c r="B238" t="s">
        <v>227</v>
      </c>
      <c r="C238" t="s">
        <v>32</v>
      </c>
      <c r="D238" t="s">
        <v>14</v>
      </c>
      <c r="E238" t="s">
        <v>34</v>
      </c>
      <c r="F238" t="s">
        <v>44</v>
      </c>
      <c r="G238">
        <v>2</v>
      </c>
      <c r="H238">
        <v>898.3</v>
      </c>
      <c r="I238">
        <v>13</v>
      </c>
      <c r="J238" t="s">
        <v>17</v>
      </c>
      <c r="K238" t="s">
        <v>18</v>
      </c>
      <c r="L238" t="s">
        <v>30</v>
      </c>
    </row>
    <row r="239" spans="1:12" x14ac:dyDescent="0.3">
      <c r="A239">
        <v>1238</v>
      </c>
      <c r="B239" t="s">
        <v>124</v>
      </c>
      <c r="C239" t="s">
        <v>54</v>
      </c>
      <c r="D239" t="s">
        <v>14</v>
      </c>
      <c r="E239" t="s">
        <v>34</v>
      </c>
      <c r="F239" t="s">
        <v>62</v>
      </c>
      <c r="G239">
        <v>1</v>
      </c>
      <c r="H239">
        <v>3665.33</v>
      </c>
      <c r="I239">
        <v>27</v>
      </c>
      <c r="J239" t="s">
        <v>28</v>
      </c>
      <c r="K239" t="s">
        <v>29</v>
      </c>
      <c r="L239" t="s">
        <v>48</v>
      </c>
    </row>
    <row r="240" spans="1:12" x14ac:dyDescent="0.3">
      <c r="A240">
        <v>1239</v>
      </c>
      <c r="B240" t="s">
        <v>88</v>
      </c>
      <c r="C240" t="s">
        <v>13</v>
      </c>
      <c r="D240" t="s">
        <v>14</v>
      </c>
      <c r="E240" t="s">
        <v>27</v>
      </c>
      <c r="F240" t="s">
        <v>16</v>
      </c>
      <c r="G240">
        <v>3</v>
      </c>
      <c r="H240">
        <v>4700.3100000000004</v>
      </c>
      <c r="I240">
        <v>17</v>
      </c>
      <c r="J240" t="s">
        <v>39</v>
      </c>
      <c r="K240" t="s">
        <v>40</v>
      </c>
      <c r="L240" t="s">
        <v>48</v>
      </c>
    </row>
    <row r="241" spans="1:12" x14ac:dyDescent="0.3">
      <c r="A241">
        <v>1240</v>
      </c>
      <c r="B241" t="s">
        <v>83</v>
      </c>
      <c r="C241" t="s">
        <v>65</v>
      </c>
      <c r="D241" t="s">
        <v>47</v>
      </c>
      <c r="E241" t="s">
        <v>34</v>
      </c>
      <c r="F241" t="s">
        <v>35</v>
      </c>
      <c r="G241">
        <v>7</v>
      </c>
      <c r="H241">
        <v>4185.24</v>
      </c>
      <c r="I241">
        <v>16</v>
      </c>
      <c r="J241" t="s">
        <v>28</v>
      </c>
      <c r="K241" t="s">
        <v>29</v>
      </c>
      <c r="L241" t="s">
        <v>19</v>
      </c>
    </row>
    <row r="242" spans="1:12" x14ac:dyDescent="0.3">
      <c r="A242">
        <v>1241</v>
      </c>
      <c r="B242" t="s">
        <v>212</v>
      </c>
      <c r="C242" t="s">
        <v>32</v>
      </c>
      <c r="D242" t="s">
        <v>33</v>
      </c>
      <c r="E242" t="s">
        <v>34</v>
      </c>
      <c r="F242" t="s">
        <v>44</v>
      </c>
      <c r="G242">
        <v>9</v>
      </c>
      <c r="H242">
        <v>1860.4</v>
      </c>
      <c r="I242">
        <v>20</v>
      </c>
      <c r="J242" t="s">
        <v>17</v>
      </c>
      <c r="K242" t="s">
        <v>29</v>
      </c>
      <c r="L242" t="s">
        <v>30</v>
      </c>
    </row>
    <row r="243" spans="1:12" x14ac:dyDescent="0.3">
      <c r="A243">
        <v>1242</v>
      </c>
      <c r="B243" t="s">
        <v>228</v>
      </c>
      <c r="C243" t="s">
        <v>54</v>
      </c>
      <c r="D243" t="s">
        <v>47</v>
      </c>
      <c r="E243" t="s">
        <v>34</v>
      </c>
      <c r="F243" t="s">
        <v>16</v>
      </c>
      <c r="G243">
        <v>4</v>
      </c>
      <c r="H243">
        <v>3453.16</v>
      </c>
      <c r="I243">
        <v>27</v>
      </c>
      <c r="J243" t="s">
        <v>24</v>
      </c>
      <c r="K243" t="s">
        <v>40</v>
      </c>
      <c r="L243" t="s">
        <v>30</v>
      </c>
    </row>
    <row r="244" spans="1:12" x14ac:dyDescent="0.3">
      <c r="A244">
        <v>1243</v>
      </c>
      <c r="B244" t="s">
        <v>206</v>
      </c>
      <c r="C244" t="s">
        <v>42</v>
      </c>
      <c r="D244" t="s">
        <v>37</v>
      </c>
      <c r="E244" t="s">
        <v>15</v>
      </c>
      <c r="F244" t="s">
        <v>23</v>
      </c>
      <c r="G244">
        <v>10</v>
      </c>
      <c r="H244">
        <v>4029.76</v>
      </c>
      <c r="I244">
        <v>28</v>
      </c>
      <c r="J244" t="s">
        <v>17</v>
      </c>
      <c r="K244" t="s">
        <v>18</v>
      </c>
      <c r="L244" t="s">
        <v>48</v>
      </c>
    </row>
    <row r="245" spans="1:12" x14ac:dyDescent="0.3">
      <c r="A245">
        <v>1244</v>
      </c>
      <c r="B245" t="s">
        <v>196</v>
      </c>
      <c r="C245" t="s">
        <v>32</v>
      </c>
      <c r="D245" t="s">
        <v>22</v>
      </c>
      <c r="E245" t="s">
        <v>27</v>
      </c>
      <c r="F245" t="s">
        <v>16</v>
      </c>
      <c r="G245">
        <v>5</v>
      </c>
      <c r="H245">
        <v>910.65</v>
      </c>
      <c r="I245">
        <v>16</v>
      </c>
      <c r="J245" t="s">
        <v>17</v>
      </c>
      <c r="K245" t="s">
        <v>40</v>
      </c>
      <c r="L245" t="s">
        <v>30</v>
      </c>
    </row>
    <row r="246" spans="1:12" x14ac:dyDescent="0.3">
      <c r="A246">
        <v>1245</v>
      </c>
      <c r="B246" t="s">
        <v>151</v>
      </c>
      <c r="C246" t="s">
        <v>65</v>
      </c>
      <c r="D246" t="s">
        <v>14</v>
      </c>
      <c r="E246" t="s">
        <v>27</v>
      </c>
      <c r="F246" t="s">
        <v>16</v>
      </c>
      <c r="G246">
        <v>3</v>
      </c>
      <c r="H246">
        <v>4987.2</v>
      </c>
      <c r="I246">
        <v>6</v>
      </c>
      <c r="J246" t="s">
        <v>24</v>
      </c>
      <c r="K246" t="s">
        <v>40</v>
      </c>
      <c r="L246" t="s">
        <v>30</v>
      </c>
    </row>
    <row r="247" spans="1:12" x14ac:dyDescent="0.3">
      <c r="A247">
        <v>1246</v>
      </c>
      <c r="B247" t="s">
        <v>104</v>
      </c>
      <c r="C247" t="s">
        <v>46</v>
      </c>
      <c r="D247" t="s">
        <v>14</v>
      </c>
      <c r="E247" t="s">
        <v>34</v>
      </c>
      <c r="F247" t="s">
        <v>44</v>
      </c>
      <c r="G247">
        <v>5</v>
      </c>
      <c r="H247">
        <v>3250.95</v>
      </c>
      <c r="I247">
        <v>29</v>
      </c>
      <c r="J247" t="s">
        <v>39</v>
      </c>
      <c r="K247" t="s">
        <v>18</v>
      </c>
      <c r="L247" t="s">
        <v>19</v>
      </c>
    </row>
    <row r="248" spans="1:12" x14ac:dyDescent="0.3">
      <c r="A248">
        <v>1247</v>
      </c>
      <c r="B248" t="s">
        <v>97</v>
      </c>
      <c r="C248" t="s">
        <v>13</v>
      </c>
      <c r="D248" t="s">
        <v>47</v>
      </c>
      <c r="E248" t="s">
        <v>27</v>
      </c>
      <c r="F248" t="s">
        <v>38</v>
      </c>
      <c r="G248">
        <v>10</v>
      </c>
      <c r="H248">
        <v>3197.09</v>
      </c>
      <c r="I248">
        <v>0</v>
      </c>
      <c r="J248" t="s">
        <v>24</v>
      </c>
      <c r="K248" t="s">
        <v>29</v>
      </c>
      <c r="L248" t="s">
        <v>30</v>
      </c>
    </row>
    <row r="249" spans="1:12" x14ac:dyDescent="0.3">
      <c r="A249">
        <v>1248</v>
      </c>
      <c r="B249" t="s">
        <v>222</v>
      </c>
      <c r="C249" t="s">
        <v>32</v>
      </c>
      <c r="D249" t="s">
        <v>14</v>
      </c>
      <c r="E249" t="s">
        <v>27</v>
      </c>
      <c r="F249" t="s">
        <v>38</v>
      </c>
      <c r="G249">
        <v>10</v>
      </c>
      <c r="H249">
        <v>266.39999999999998</v>
      </c>
      <c r="I249">
        <v>26</v>
      </c>
      <c r="J249" t="s">
        <v>39</v>
      </c>
      <c r="K249" t="s">
        <v>18</v>
      </c>
      <c r="L249" t="s">
        <v>19</v>
      </c>
    </row>
    <row r="250" spans="1:12" x14ac:dyDescent="0.3">
      <c r="A250">
        <v>1249</v>
      </c>
      <c r="B250" t="s">
        <v>127</v>
      </c>
      <c r="C250" t="s">
        <v>13</v>
      </c>
      <c r="D250" t="s">
        <v>47</v>
      </c>
      <c r="E250" t="s">
        <v>34</v>
      </c>
      <c r="F250" t="s">
        <v>44</v>
      </c>
      <c r="G250">
        <v>4</v>
      </c>
      <c r="H250">
        <v>3976.92</v>
      </c>
      <c r="I250">
        <v>7</v>
      </c>
      <c r="J250" t="s">
        <v>17</v>
      </c>
      <c r="K250" t="s">
        <v>18</v>
      </c>
      <c r="L250" t="s">
        <v>30</v>
      </c>
    </row>
    <row r="251" spans="1:12" x14ac:dyDescent="0.3">
      <c r="A251">
        <v>1250</v>
      </c>
      <c r="B251" t="s">
        <v>229</v>
      </c>
      <c r="C251" t="s">
        <v>52</v>
      </c>
      <c r="D251" t="s">
        <v>33</v>
      </c>
      <c r="E251" t="s">
        <v>15</v>
      </c>
      <c r="F251" t="s">
        <v>62</v>
      </c>
      <c r="G251">
        <v>8</v>
      </c>
      <c r="H251">
        <v>249.05</v>
      </c>
      <c r="I251">
        <v>17</v>
      </c>
      <c r="J251" t="s">
        <v>17</v>
      </c>
      <c r="K251" t="s">
        <v>29</v>
      </c>
      <c r="L251" t="s">
        <v>30</v>
      </c>
    </row>
    <row r="252" spans="1:12" x14ac:dyDescent="0.3">
      <c r="A252">
        <v>1251</v>
      </c>
      <c r="B252" t="s">
        <v>216</v>
      </c>
      <c r="C252" t="s">
        <v>42</v>
      </c>
      <c r="D252" t="s">
        <v>14</v>
      </c>
      <c r="E252" t="s">
        <v>27</v>
      </c>
      <c r="F252" t="s">
        <v>16</v>
      </c>
      <c r="G252">
        <v>8</v>
      </c>
      <c r="H252">
        <v>816.29</v>
      </c>
      <c r="I252">
        <v>14</v>
      </c>
      <c r="J252" t="s">
        <v>17</v>
      </c>
      <c r="K252" t="s">
        <v>18</v>
      </c>
      <c r="L252" t="s">
        <v>30</v>
      </c>
    </row>
    <row r="253" spans="1:12" x14ac:dyDescent="0.3">
      <c r="A253">
        <v>1252</v>
      </c>
      <c r="B253" t="s">
        <v>79</v>
      </c>
      <c r="C253" t="s">
        <v>32</v>
      </c>
      <c r="D253" t="s">
        <v>14</v>
      </c>
      <c r="E253" t="s">
        <v>34</v>
      </c>
      <c r="F253" t="s">
        <v>44</v>
      </c>
      <c r="G253">
        <v>9</v>
      </c>
      <c r="H253">
        <v>2321.5300000000002</v>
      </c>
      <c r="I253">
        <v>12</v>
      </c>
      <c r="J253" t="s">
        <v>17</v>
      </c>
      <c r="K253" t="s">
        <v>29</v>
      </c>
      <c r="L253" t="s">
        <v>30</v>
      </c>
    </row>
    <row r="254" spans="1:12" x14ac:dyDescent="0.3">
      <c r="A254">
        <v>1253</v>
      </c>
      <c r="B254" t="s">
        <v>69</v>
      </c>
      <c r="C254" t="s">
        <v>13</v>
      </c>
      <c r="D254" t="s">
        <v>33</v>
      </c>
      <c r="E254" t="s">
        <v>34</v>
      </c>
      <c r="F254" t="s">
        <v>44</v>
      </c>
      <c r="G254">
        <v>3</v>
      </c>
      <c r="H254">
        <v>1410.71</v>
      </c>
      <c r="I254">
        <v>1</v>
      </c>
      <c r="J254" t="s">
        <v>24</v>
      </c>
      <c r="K254" t="s">
        <v>18</v>
      </c>
      <c r="L254" t="s">
        <v>30</v>
      </c>
    </row>
    <row r="255" spans="1:12" x14ac:dyDescent="0.3">
      <c r="A255">
        <v>1254</v>
      </c>
      <c r="B255" t="s">
        <v>89</v>
      </c>
      <c r="C255" t="s">
        <v>32</v>
      </c>
      <c r="D255" t="s">
        <v>22</v>
      </c>
      <c r="E255" t="s">
        <v>34</v>
      </c>
      <c r="F255" t="s">
        <v>44</v>
      </c>
      <c r="G255">
        <v>10</v>
      </c>
      <c r="H255">
        <v>3982.41</v>
      </c>
      <c r="I255">
        <v>16</v>
      </c>
      <c r="J255" t="s">
        <v>24</v>
      </c>
      <c r="K255" t="s">
        <v>18</v>
      </c>
      <c r="L255" t="s">
        <v>48</v>
      </c>
    </row>
    <row r="256" spans="1:12" x14ac:dyDescent="0.3">
      <c r="A256">
        <v>1255</v>
      </c>
      <c r="B256" t="s">
        <v>230</v>
      </c>
      <c r="C256" t="s">
        <v>13</v>
      </c>
      <c r="D256" t="s">
        <v>14</v>
      </c>
      <c r="E256" t="s">
        <v>34</v>
      </c>
      <c r="F256" t="s">
        <v>62</v>
      </c>
      <c r="G256">
        <v>8</v>
      </c>
      <c r="H256">
        <v>292.67</v>
      </c>
      <c r="I256">
        <v>30</v>
      </c>
      <c r="J256" t="s">
        <v>39</v>
      </c>
      <c r="K256" t="s">
        <v>18</v>
      </c>
      <c r="L256" t="s">
        <v>48</v>
      </c>
    </row>
    <row r="257" spans="1:12" x14ac:dyDescent="0.3">
      <c r="A257">
        <v>1256</v>
      </c>
      <c r="B257" t="s">
        <v>162</v>
      </c>
      <c r="C257" t="s">
        <v>32</v>
      </c>
      <c r="D257" t="s">
        <v>14</v>
      </c>
      <c r="E257" t="s">
        <v>15</v>
      </c>
      <c r="F257" t="s">
        <v>35</v>
      </c>
      <c r="G257">
        <v>7</v>
      </c>
      <c r="H257">
        <v>2582.8200000000002</v>
      </c>
      <c r="I257">
        <v>0</v>
      </c>
      <c r="J257" t="s">
        <v>39</v>
      </c>
      <c r="K257" t="s">
        <v>40</v>
      </c>
      <c r="L257" t="s">
        <v>19</v>
      </c>
    </row>
    <row r="258" spans="1:12" x14ac:dyDescent="0.3">
      <c r="A258">
        <v>1257</v>
      </c>
      <c r="B258" t="s">
        <v>67</v>
      </c>
      <c r="C258" t="s">
        <v>21</v>
      </c>
      <c r="D258" t="s">
        <v>22</v>
      </c>
      <c r="E258" t="s">
        <v>15</v>
      </c>
      <c r="F258" t="s">
        <v>44</v>
      </c>
      <c r="G258">
        <v>2</v>
      </c>
      <c r="H258">
        <v>4998.67</v>
      </c>
      <c r="I258">
        <v>18</v>
      </c>
      <c r="J258" t="s">
        <v>28</v>
      </c>
      <c r="K258" t="s">
        <v>40</v>
      </c>
      <c r="L258" t="s">
        <v>30</v>
      </c>
    </row>
    <row r="259" spans="1:12" x14ac:dyDescent="0.3">
      <c r="A259">
        <v>1258</v>
      </c>
      <c r="B259" t="s">
        <v>231</v>
      </c>
      <c r="C259" t="s">
        <v>65</v>
      </c>
      <c r="D259" t="s">
        <v>33</v>
      </c>
      <c r="E259" t="s">
        <v>15</v>
      </c>
      <c r="F259" t="s">
        <v>44</v>
      </c>
      <c r="G259">
        <v>2</v>
      </c>
      <c r="H259">
        <v>2513.84</v>
      </c>
      <c r="I259">
        <v>26</v>
      </c>
      <c r="J259" t="s">
        <v>17</v>
      </c>
      <c r="K259" t="s">
        <v>29</v>
      </c>
      <c r="L259" t="s">
        <v>48</v>
      </c>
    </row>
    <row r="260" spans="1:12" x14ac:dyDescent="0.3">
      <c r="A260">
        <v>1259</v>
      </c>
      <c r="B260" t="s">
        <v>59</v>
      </c>
      <c r="C260" t="s">
        <v>54</v>
      </c>
      <c r="D260" t="s">
        <v>37</v>
      </c>
      <c r="E260" t="s">
        <v>27</v>
      </c>
      <c r="F260" t="s">
        <v>44</v>
      </c>
      <c r="G260">
        <v>4</v>
      </c>
      <c r="H260">
        <v>3533.18</v>
      </c>
      <c r="I260">
        <v>14</v>
      </c>
      <c r="J260" t="s">
        <v>24</v>
      </c>
      <c r="K260" t="s">
        <v>29</v>
      </c>
      <c r="L260" t="s">
        <v>48</v>
      </c>
    </row>
    <row r="261" spans="1:12" x14ac:dyDescent="0.3">
      <c r="A261">
        <v>1260</v>
      </c>
      <c r="B261" t="s">
        <v>211</v>
      </c>
      <c r="C261" t="s">
        <v>54</v>
      </c>
      <c r="D261" t="s">
        <v>22</v>
      </c>
      <c r="E261" t="s">
        <v>34</v>
      </c>
      <c r="F261" t="s">
        <v>62</v>
      </c>
      <c r="G261">
        <v>2</v>
      </c>
      <c r="H261">
        <v>4878.1000000000004</v>
      </c>
      <c r="I261">
        <v>14</v>
      </c>
      <c r="J261" t="s">
        <v>24</v>
      </c>
      <c r="K261" t="s">
        <v>18</v>
      </c>
      <c r="L261" t="s">
        <v>48</v>
      </c>
    </row>
    <row r="262" spans="1:12" x14ac:dyDescent="0.3">
      <c r="A262">
        <v>1261</v>
      </c>
      <c r="B262" t="s">
        <v>104</v>
      </c>
      <c r="C262" t="s">
        <v>65</v>
      </c>
      <c r="D262" t="s">
        <v>47</v>
      </c>
      <c r="E262" t="s">
        <v>27</v>
      </c>
      <c r="F262" t="s">
        <v>62</v>
      </c>
      <c r="G262">
        <v>7</v>
      </c>
      <c r="H262">
        <v>4332.5600000000004</v>
      </c>
      <c r="I262">
        <v>9</v>
      </c>
      <c r="J262" t="s">
        <v>39</v>
      </c>
      <c r="K262" t="s">
        <v>40</v>
      </c>
      <c r="L262" t="s">
        <v>19</v>
      </c>
    </row>
    <row r="263" spans="1:12" x14ac:dyDescent="0.3">
      <c r="A263">
        <v>1262</v>
      </c>
      <c r="B263" t="s">
        <v>178</v>
      </c>
      <c r="C263" t="s">
        <v>32</v>
      </c>
      <c r="D263" t="s">
        <v>33</v>
      </c>
      <c r="E263" t="s">
        <v>27</v>
      </c>
      <c r="F263" t="s">
        <v>23</v>
      </c>
      <c r="G263">
        <v>4</v>
      </c>
      <c r="H263">
        <v>1164.69</v>
      </c>
      <c r="I263">
        <v>15</v>
      </c>
      <c r="J263" t="s">
        <v>39</v>
      </c>
      <c r="K263" t="s">
        <v>40</v>
      </c>
      <c r="L263" t="s">
        <v>48</v>
      </c>
    </row>
    <row r="264" spans="1:12" x14ac:dyDescent="0.3">
      <c r="A264">
        <v>1263</v>
      </c>
      <c r="B264" t="s">
        <v>95</v>
      </c>
      <c r="C264" t="s">
        <v>32</v>
      </c>
      <c r="D264" t="s">
        <v>47</v>
      </c>
      <c r="E264" t="s">
        <v>27</v>
      </c>
      <c r="F264" t="s">
        <v>62</v>
      </c>
      <c r="G264">
        <v>7</v>
      </c>
      <c r="H264">
        <v>2192.06</v>
      </c>
      <c r="I264">
        <v>30</v>
      </c>
      <c r="J264" t="s">
        <v>28</v>
      </c>
      <c r="K264" t="s">
        <v>18</v>
      </c>
      <c r="L264" t="s">
        <v>19</v>
      </c>
    </row>
    <row r="265" spans="1:12" x14ac:dyDescent="0.3">
      <c r="A265">
        <v>1264</v>
      </c>
      <c r="B265" t="s">
        <v>232</v>
      </c>
      <c r="C265" t="s">
        <v>13</v>
      </c>
      <c r="D265" t="s">
        <v>47</v>
      </c>
      <c r="E265" t="s">
        <v>27</v>
      </c>
      <c r="F265" t="s">
        <v>35</v>
      </c>
      <c r="G265">
        <v>1</v>
      </c>
      <c r="H265">
        <v>4245.17</v>
      </c>
      <c r="I265">
        <v>23</v>
      </c>
      <c r="J265" t="s">
        <v>39</v>
      </c>
      <c r="K265" t="s">
        <v>40</v>
      </c>
      <c r="L265" t="s">
        <v>30</v>
      </c>
    </row>
    <row r="266" spans="1:12" x14ac:dyDescent="0.3">
      <c r="A266">
        <v>1265</v>
      </c>
      <c r="B266" t="s">
        <v>233</v>
      </c>
      <c r="C266" t="s">
        <v>13</v>
      </c>
      <c r="D266" t="s">
        <v>37</v>
      </c>
      <c r="E266" t="s">
        <v>15</v>
      </c>
      <c r="F266" t="s">
        <v>16</v>
      </c>
      <c r="G266">
        <v>4</v>
      </c>
      <c r="H266">
        <v>3757.07</v>
      </c>
      <c r="I266">
        <v>24</v>
      </c>
      <c r="J266" t="s">
        <v>17</v>
      </c>
      <c r="K266" t="s">
        <v>29</v>
      </c>
      <c r="L266" t="s">
        <v>19</v>
      </c>
    </row>
    <row r="267" spans="1:12" x14ac:dyDescent="0.3">
      <c r="A267">
        <v>1266</v>
      </c>
      <c r="B267" t="s">
        <v>234</v>
      </c>
      <c r="C267" t="s">
        <v>42</v>
      </c>
      <c r="D267" t="s">
        <v>33</v>
      </c>
      <c r="E267" t="s">
        <v>15</v>
      </c>
      <c r="F267" t="s">
        <v>23</v>
      </c>
      <c r="G267">
        <v>4</v>
      </c>
      <c r="H267">
        <v>554.44000000000005</v>
      </c>
      <c r="I267">
        <v>5</v>
      </c>
      <c r="J267" t="s">
        <v>24</v>
      </c>
      <c r="K267" t="s">
        <v>29</v>
      </c>
      <c r="L267" t="s">
        <v>30</v>
      </c>
    </row>
    <row r="268" spans="1:12" x14ac:dyDescent="0.3">
      <c r="A268">
        <v>1267</v>
      </c>
      <c r="B268" t="s">
        <v>115</v>
      </c>
      <c r="C268" t="s">
        <v>32</v>
      </c>
      <c r="D268" t="s">
        <v>14</v>
      </c>
      <c r="E268" t="s">
        <v>27</v>
      </c>
      <c r="F268" t="s">
        <v>38</v>
      </c>
      <c r="G268">
        <v>6</v>
      </c>
      <c r="H268">
        <v>4505.42</v>
      </c>
      <c r="I268">
        <v>11</v>
      </c>
      <c r="J268" t="s">
        <v>39</v>
      </c>
      <c r="K268" t="s">
        <v>40</v>
      </c>
      <c r="L268" t="s">
        <v>48</v>
      </c>
    </row>
    <row r="269" spans="1:12" x14ac:dyDescent="0.3">
      <c r="A269">
        <v>1268</v>
      </c>
      <c r="B269" t="s">
        <v>235</v>
      </c>
      <c r="C269" t="s">
        <v>54</v>
      </c>
      <c r="D269" t="s">
        <v>22</v>
      </c>
      <c r="E269" t="s">
        <v>27</v>
      </c>
      <c r="F269" t="s">
        <v>38</v>
      </c>
      <c r="G269">
        <v>4</v>
      </c>
      <c r="H269">
        <v>544.33000000000004</v>
      </c>
      <c r="I269">
        <v>30</v>
      </c>
      <c r="J269" t="s">
        <v>17</v>
      </c>
      <c r="K269" t="s">
        <v>40</v>
      </c>
      <c r="L269" t="s">
        <v>19</v>
      </c>
    </row>
    <row r="270" spans="1:12" x14ac:dyDescent="0.3">
      <c r="A270">
        <v>1269</v>
      </c>
      <c r="B270" t="s">
        <v>128</v>
      </c>
      <c r="C270" t="s">
        <v>65</v>
      </c>
      <c r="D270" t="s">
        <v>14</v>
      </c>
      <c r="E270" t="s">
        <v>34</v>
      </c>
      <c r="F270" t="s">
        <v>35</v>
      </c>
      <c r="G270">
        <v>2</v>
      </c>
      <c r="H270">
        <v>2561.8200000000002</v>
      </c>
      <c r="I270">
        <v>21</v>
      </c>
      <c r="J270" t="s">
        <v>17</v>
      </c>
      <c r="K270" t="s">
        <v>18</v>
      </c>
      <c r="L270" t="s">
        <v>48</v>
      </c>
    </row>
    <row r="271" spans="1:12" x14ac:dyDescent="0.3">
      <c r="A271">
        <v>1270</v>
      </c>
      <c r="B271" t="s">
        <v>236</v>
      </c>
      <c r="C271" t="s">
        <v>13</v>
      </c>
      <c r="D271" t="s">
        <v>22</v>
      </c>
      <c r="E271" t="s">
        <v>27</v>
      </c>
      <c r="F271" t="s">
        <v>62</v>
      </c>
      <c r="G271">
        <v>9</v>
      </c>
      <c r="H271">
        <v>2566.11</v>
      </c>
      <c r="I271">
        <v>18</v>
      </c>
      <c r="J271" t="s">
        <v>28</v>
      </c>
      <c r="K271" t="s">
        <v>18</v>
      </c>
      <c r="L271" t="s">
        <v>30</v>
      </c>
    </row>
    <row r="272" spans="1:12" x14ac:dyDescent="0.3">
      <c r="A272">
        <v>1271</v>
      </c>
      <c r="B272" t="s">
        <v>237</v>
      </c>
      <c r="C272" t="s">
        <v>13</v>
      </c>
      <c r="D272" t="s">
        <v>47</v>
      </c>
      <c r="E272" t="s">
        <v>27</v>
      </c>
      <c r="F272" t="s">
        <v>38</v>
      </c>
      <c r="G272">
        <v>6</v>
      </c>
      <c r="H272">
        <v>3596.62</v>
      </c>
      <c r="I272">
        <v>29</v>
      </c>
      <c r="J272" t="s">
        <v>39</v>
      </c>
      <c r="K272" t="s">
        <v>18</v>
      </c>
      <c r="L272" t="s">
        <v>30</v>
      </c>
    </row>
    <row r="273" spans="1:12" x14ac:dyDescent="0.3">
      <c r="A273">
        <v>1272</v>
      </c>
      <c r="B273" t="s">
        <v>238</v>
      </c>
      <c r="C273" t="s">
        <v>54</v>
      </c>
      <c r="D273" t="s">
        <v>14</v>
      </c>
      <c r="E273" t="s">
        <v>34</v>
      </c>
      <c r="F273" t="s">
        <v>16</v>
      </c>
      <c r="G273">
        <v>2</v>
      </c>
      <c r="H273">
        <v>568.78</v>
      </c>
      <c r="I273">
        <v>30</v>
      </c>
      <c r="J273" t="s">
        <v>17</v>
      </c>
      <c r="K273" t="s">
        <v>18</v>
      </c>
      <c r="L273" t="s">
        <v>30</v>
      </c>
    </row>
    <row r="274" spans="1:12" x14ac:dyDescent="0.3">
      <c r="A274">
        <v>1273</v>
      </c>
      <c r="B274" t="s">
        <v>239</v>
      </c>
      <c r="C274" t="s">
        <v>54</v>
      </c>
      <c r="D274" t="s">
        <v>22</v>
      </c>
      <c r="E274" t="s">
        <v>27</v>
      </c>
      <c r="F274" t="s">
        <v>16</v>
      </c>
      <c r="G274">
        <v>2</v>
      </c>
      <c r="H274">
        <v>4302.16</v>
      </c>
      <c r="I274">
        <v>16</v>
      </c>
      <c r="J274" t="s">
        <v>28</v>
      </c>
      <c r="K274" t="s">
        <v>29</v>
      </c>
      <c r="L274" t="s">
        <v>48</v>
      </c>
    </row>
    <row r="275" spans="1:12" x14ac:dyDescent="0.3">
      <c r="A275">
        <v>1274</v>
      </c>
      <c r="B275" t="s">
        <v>74</v>
      </c>
      <c r="C275" t="s">
        <v>13</v>
      </c>
      <c r="D275" t="s">
        <v>22</v>
      </c>
      <c r="E275" t="s">
        <v>34</v>
      </c>
      <c r="F275" t="s">
        <v>16</v>
      </c>
      <c r="G275">
        <v>8</v>
      </c>
      <c r="H275">
        <v>1413.24</v>
      </c>
      <c r="I275">
        <v>23</v>
      </c>
      <c r="J275" t="s">
        <v>28</v>
      </c>
      <c r="K275" t="s">
        <v>29</v>
      </c>
      <c r="L275" t="s">
        <v>19</v>
      </c>
    </row>
    <row r="276" spans="1:12" x14ac:dyDescent="0.3">
      <c r="A276">
        <v>1275</v>
      </c>
      <c r="B276" t="s">
        <v>240</v>
      </c>
      <c r="C276" t="s">
        <v>52</v>
      </c>
      <c r="D276" t="s">
        <v>37</v>
      </c>
      <c r="E276" t="s">
        <v>34</v>
      </c>
      <c r="F276" t="s">
        <v>23</v>
      </c>
      <c r="G276">
        <v>1</v>
      </c>
      <c r="H276">
        <v>2140.31</v>
      </c>
      <c r="I276">
        <v>6</v>
      </c>
      <c r="J276" t="s">
        <v>28</v>
      </c>
      <c r="K276" t="s">
        <v>40</v>
      </c>
      <c r="L276" t="s">
        <v>19</v>
      </c>
    </row>
    <row r="277" spans="1:12" x14ac:dyDescent="0.3">
      <c r="A277">
        <v>1276</v>
      </c>
      <c r="B277" t="s">
        <v>96</v>
      </c>
      <c r="C277" t="s">
        <v>54</v>
      </c>
      <c r="D277" t="s">
        <v>37</v>
      </c>
      <c r="E277" t="s">
        <v>27</v>
      </c>
      <c r="F277" t="s">
        <v>23</v>
      </c>
      <c r="G277">
        <v>4</v>
      </c>
      <c r="H277">
        <v>2834.72</v>
      </c>
      <c r="I277">
        <v>22</v>
      </c>
      <c r="J277" t="s">
        <v>24</v>
      </c>
      <c r="K277" t="s">
        <v>18</v>
      </c>
      <c r="L277" t="s">
        <v>19</v>
      </c>
    </row>
    <row r="278" spans="1:12" x14ac:dyDescent="0.3">
      <c r="A278">
        <v>1277</v>
      </c>
      <c r="B278" t="s">
        <v>241</v>
      </c>
      <c r="C278" t="s">
        <v>32</v>
      </c>
      <c r="D278" t="s">
        <v>47</v>
      </c>
      <c r="E278" t="s">
        <v>34</v>
      </c>
      <c r="F278" t="s">
        <v>35</v>
      </c>
      <c r="G278">
        <v>7</v>
      </c>
      <c r="H278">
        <v>3687.89</v>
      </c>
      <c r="I278">
        <v>7</v>
      </c>
      <c r="J278" t="s">
        <v>17</v>
      </c>
      <c r="K278" t="s">
        <v>29</v>
      </c>
      <c r="L278" t="s">
        <v>19</v>
      </c>
    </row>
    <row r="279" spans="1:12" x14ac:dyDescent="0.3">
      <c r="A279">
        <v>1278</v>
      </c>
      <c r="B279" t="s">
        <v>49</v>
      </c>
      <c r="C279" t="s">
        <v>54</v>
      </c>
      <c r="D279" t="s">
        <v>22</v>
      </c>
      <c r="E279" t="s">
        <v>34</v>
      </c>
      <c r="F279" t="s">
        <v>38</v>
      </c>
      <c r="G279">
        <v>2</v>
      </c>
      <c r="H279">
        <v>3373.97</v>
      </c>
      <c r="I279">
        <v>10</v>
      </c>
      <c r="J279" t="s">
        <v>24</v>
      </c>
      <c r="K279" t="s">
        <v>29</v>
      </c>
      <c r="L279" t="s">
        <v>30</v>
      </c>
    </row>
    <row r="280" spans="1:12" x14ac:dyDescent="0.3">
      <c r="A280">
        <v>1279</v>
      </c>
      <c r="B280" t="s">
        <v>59</v>
      </c>
      <c r="C280" t="s">
        <v>54</v>
      </c>
      <c r="D280" t="s">
        <v>47</v>
      </c>
      <c r="E280" t="s">
        <v>15</v>
      </c>
      <c r="F280" t="s">
        <v>62</v>
      </c>
      <c r="G280">
        <v>4</v>
      </c>
      <c r="H280">
        <v>1503.95</v>
      </c>
      <c r="I280">
        <v>17</v>
      </c>
      <c r="J280" t="s">
        <v>17</v>
      </c>
      <c r="K280" t="s">
        <v>18</v>
      </c>
      <c r="L280" t="s">
        <v>30</v>
      </c>
    </row>
    <row r="281" spans="1:12" x14ac:dyDescent="0.3">
      <c r="A281">
        <v>1280</v>
      </c>
      <c r="B281" t="s">
        <v>150</v>
      </c>
      <c r="C281" t="s">
        <v>54</v>
      </c>
      <c r="D281" t="s">
        <v>22</v>
      </c>
      <c r="E281" t="s">
        <v>15</v>
      </c>
      <c r="F281" t="s">
        <v>38</v>
      </c>
      <c r="G281">
        <v>2</v>
      </c>
      <c r="H281">
        <v>2561.9</v>
      </c>
      <c r="I281">
        <v>14</v>
      </c>
      <c r="J281" t="s">
        <v>39</v>
      </c>
      <c r="K281" t="s">
        <v>18</v>
      </c>
      <c r="L281" t="s">
        <v>48</v>
      </c>
    </row>
    <row r="282" spans="1:12" x14ac:dyDescent="0.3">
      <c r="A282">
        <v>1281</v>
      </c>
      <c r="B282" t="s">
        <v>242</v>
      </c>
      <c r="C282" t="s">
        <v>42</v>
      </c>
      <c r="D282" t="s">
        <v>22</v>
      </c>
      <c r="E282" t="s">
        <v>15</v>
      </c>
      <c r="F282" t="s">
        <v>23</v>
      </c>
      <c r="G282">
        <v>6</v>
      </c>
      <c r="H282">
        <v>1087.97</v>
      </c>
      <c r="I282">
        <v>3</v>
      </c>
      <c r="J282" t="s">
        <v>17</v>
      </c>
      <c r="K282" t="s">
        <v>18</v>
      </c>
      <c r="L282" t="s">
        <v>19</v>
      </c>
    </row>
    <row r="283" spans="1:12" x14ac:dyDescent="0.3">
      <c r="A283">
        <v>1282</v>
      </c>
      <c r="B283" t="s">
        <v>243</v>
      </c>
      <c r="C283" t="s">
        <v>65</v>
      </c>
      <c r="D283" t="s">
        <v>14</v>
      </c>
      <c r="E283" t="s">
        <v>15</v>
      </c>
      <c r="F283" t="s">
        <v>23</v>
      </c>
      <c r="G283">
        <v>9</v>
      </c>
      <c r="H283">
        <v>3878.7</v>
      </c>
      <c r="I283">
        <v>5</v>
      </c>
      <c r="J283" t="s">
        <v>17</v>
      </c>
      <c r="K283" t="s">
        <v>40</v>
      </c>
      <c r="L283" t="s">
        <v>48</v>
      </c>
    </row>
    <row r="284" spans="1:12" x14ac:dyDescent="0.3">
      <c r="A284">
        <v>1283</v>
      </c>
      <c r="B284" t="s">
        <v>244</v>
      </c>
      <c r="C284" t="s">
        <v>46</v>
      </c>
      <c r="D284" t="s">
        <v>33</v>
      </c>
      <c r="E284" t="s">
        <v>27</v>
      </c>
      <c r="F284" t="s">
        <v>38</v>
      </c>
      <c r="G284">
        <v>4</v>
      </c>
      <c r="H284">
        <v>1358.79</v>
      </c>
      <c r="I284">
        <v>9</v>
      </c>
      <c r="J284" t="s">
        <v>39</v>
      </c>
      <c r="K284" t="s">
        <v>29</v>
      </c>
      <c r="L284" t="s">
        <v>19</v>
      </c>
    </row>
    <row r="285" spans="1:12" x14ac:dyDescent="0.3">
      <c r="A285">
        <v>1284</v>
      </c>
      <c r="B285" t="s">
        <v>245</v>
      </c>
      <c r="C285" t="s">
        <v>13</v>
      </c>
      <c r="D285" t="s">
        <v>37</v>
      </c>
      <c r="E285" t="s">
        <v>34</v>
      </c>
      <c r="F285" t="s">
        <v>35</v>
      </c>
      <c r="G285">
        <v>6</v>
      </c>
      <c r="H285">
        <v>4209.55</v>
      </c>
      <c r="I285">
        <v>11</v>
      </c>
      <c r="J285" t="s">
        <v>24</v>
      </c>
      <c r="K285" t="s">
        <v>29</v>
      </c>
      <c r="L285" t="s">
        <v>30</v>
      </c>
    </row>
    <row r="286" spans="1:12" x14ac:dyDescent="0.3">
      <c r="A286">
        <v>1285</v>
      </c>
      <c r="B286" t="s">
        <v>83</v>
      </c>
      <c r="C286" t="s">
        <v>42</v>
      </c>
      <c r="D286" t="s">
        <v>22</v>
      </c>
      <c r="E286" t="s">
        <v>34</v>
      </c>
      <c r="F286" t="s">
        <v>62</v>
      </c>
      <c r="G286">
        <v>1</v>
      </c>
      <c r="H286">
        <v>655.38</v>
      </c>
      <c r="I286">
        <v>4</v>
      </c>
      <c r="J286" t="s">
        <v>17</v>
      </c>
      <c r="K286" t="s">
        <v>29</v>
      </c>
      <c r="L286" t="s">
        <v>30</v>
      </c>
    </row>
    <row r="287" spans="1:12" x14ac:dyDescent="0.3">
      <c r="A287">
        <v>1286</v>
      </c>
      <c r="B287" t="s">
        <v>246</v>
      </c>
      <c r="C287" t="s">
        <v>54</v>
      </c>
      <c r="D287" t="s">
        <v>33</v>
      </c>
      <c r="E287" t="s">
        <v>27</v>
      </c>
      <c r="F287" t="s">
        <v>62</v>
      </c>
      <c r="G287">
        <v>3</v>
      </c>
      <c r="H287">
        <v>1345.83</v>
      </c>
      <c r="I287">
        <v>30</v>
      </c>
      <c r="J287" t="s">
        <v>17</v>
      </c>
      <c r="K287" t="s">
        <v>29</v>
      </c>
      <c r="L287" t="s">
        <v>19</v>
      </c>
    </row>
    <row r="288" spans="1:12" x14ac:dyDescent="0.3">
      <c r="A288">
        <v>1287</v>
      </c>
      <c r="B288" t="s">
        <v>164</v>
      </c>
      <c r="C288" t="s">
        <v>21</v>
      </c>
      <c r="D288" t="s">
        <v>37</v>
      </c>
      <c r="E288" t="s">
        <v>27</v>
      </c>
      <c r="F288" t="s">
        <v>35</v>
      </c>
      <c r="G288">
        <v>9</v>
      </c>
      <c r="H288">
        <v>2368.6799999999998</v>
      </c>
      <c r="I288">
        <v>2</v>
      </c>
      <c r="J288" t="s">
        <v>39</v>
      </c>
      <c r="K288" t="s">
        <v>29</v>
      </c>
      <c r="L288" t="s">
        <v>19</v>
      </c>
    </row>
    <row r="289" spans="1:12" x14ac:dyDescent="0.3">
      <c r="A289">
        <v>1288</v>
      </c>
      <c r="B289" t="s">
        <v>206</v>
      </c>
      <c r="C289" t="s">
        <v>52</v>
      </c>
      <c r="D289" t="s">
        <v>14</v>
      </c>
      <c r="E289" t="s">
        <v>27</v>
      </c>
      <c r="F289" t="s">
        <v>44</v>
      </c>
      <c r="G289">
        <v>4</v>
      </c>
      <c r="H289">
        <v>1678.89</v>
      </c>
      <c r="I289">
        <v>22</v>
      </c>
      <c r="J289" t="s">
        <v>17</v>
      </c>
      <c r="K289" t="s">
        <v>40</v>
      </c>
      <c r="L289" t="s">
        <v>30</v>
      </c>
    </row>
    <row r="290" spans="1:12" x14ac:dyDescent="0.3">
      <c r="A290">
        <v>1289</v>
      </c>
      <c r="B290" t="s">
        <v>247</v>
      </c>
      <c r="C290" t="s">
        <v>52</v>
      </c>
      <c r="D290" t="s">
        <v>37</v>
      </c>
      <c r="E290" t="s">
        <v>27</v>
      </c>
      <c r="F290" t="s">
        <v>44</v>
      </c>
      <c r="G290">
        <v>2</v>
      </c>
      <c r="H290">
        <v>788.98</v>
      </c>
      <c r="I290">
        <v>16</v>
      </c>
      <c r="J290" t="s">
        <v>24</v>
      </c>
      <c r="K290" t="s">
        <v>40</v>
      </c>
      <c r="L290" t="s">
        <v>19</v>
      </c>
    </row>
    <row r="291" spans="1:12" x14ac:dyDescent="0.3">
      <c r="A291">
        <v>1290</v>
      </c>
      <c r="B291" t="s">
        <v>248</v>
      </c>
      <c r="C291" t="s">
        <v>21</v>
      </c>
      <c r="D291" t="s">
        <v>22</v>
      </c>
      <c r="E291" t="s">
        <v>34</v>
      </c>
      <c r="F291" t="s">
        <v>44</v>
      </c>
      <c r="G291">
        <v>1</v>
      </c>
      <c r="H291">
        <v>1347.97</v>
      </c>
      <c r="I291">
        <v>27</v>
      </c>
      <c r="J291" t="s">
        <v>28</v>
      </c>
      <c r="K291" t="s">
        <v>29</v>
      </c>
      <c r="L291" t="s">
        <v>30</v>
      </c>
    </row>
    <row r="292" spans="1:12" x14ac:dyDescent="0.3">
      <c r="A292">
        <v>1291</v>
      </c>
      <c r="B292" t="s">
        <v>95</v>
      </c>
      <c r="C292" t="s">
        <v>54</v>
      </c>
      <c r="D292" t="s">
        <v>14</v>
      </c>
      <c r="E292" t="s">
        <v>15</v>
      </c>
      <c r="F292" t="s">
        <v>38</v>
      </c>
      <c r="G292">
        <v>8</v>
      </c>
      <c r="H292">
        <v>4537.67</v>
      </c>
      <c r="I292">
        <v>21</v>
      </c>
      <c r="J292" t="s">
        <v>24</v>
      </c>
      <c r="K292" t="s">
        <v>40</v>
      </c>
      <c r="L292" t="s">
        <v>30</v>
      </c>
    </row>
    <row r="293" spans="1:12" x14ac:dyDescent="0.3">
      <c r="A293">
        <v>1292</v>
      </c>
      <c r="B293" t="s">
        <v>69</v>
      </c>
      <c r="C293" t="s">
        <v>65</v>
      </c>
      <c r="D293" t="s">
        <v>47</v>
      </c>
      <c r="E293" t="s">
        <v>15</v>
      </c>
      <c r="F293" t="s">
        <v>35</v>
      </c>
      <c r="G293">
        <v>3</v>
      </c>
      <c r="H293">
        <v>2124.84</v>
      </c>
      <c r="I293">
        <v>13</v>
      </c>
      <c r="J293" t="s">
        <v>17</v>
      </c>
      <c r="K293" t="s">
        <v>40</v>
      </c>
      <c r="L293" t="s">
        <v>30</v>
      </c>
    </row>
    <row r="294" spans="1:12" x14ac:dyDescent="0.3">
      <c r="A294">
        <v>1293</v>
      </c>
      <c r="B294" t="s">
        <v>121</v>
      </c>
      <c r="C294" t="s">
        <v>32</v>
      </c>
      <c r="D294" t="s">
        <v>47</v>
      </c>
      <c r="E294" t="s">
        <v>15</v>
      </c>
      <c r="F294" t="s">
        <v>62</v>
      </c>
      <c r="G294">
        <v>4</v>
      </c>
      <c r="H294">
        <v>1805.9</v>
      </c>
      <c r="I294">
        <v>30</v>
      </c>
      <c r="J294" t="s">
        <v>28</v>
      </c>
      <c r="K294" t="s">
        <v>18</v>
      </c>
      <c r="L294" t="s">
        <v>30</v>
      </c>
    </row>
    <row r="295" spans="1:12" x14ac:dyDescent="0.3">
      <c r="A295">
        <v>1294</v>
      </c>
      <c r="B295" t="s">
        <v>96</v>
      </c>
      <c r="C295" t="s">
        <v>42</v>
      </c>
      <c r="D295" t="s">
        <v>14</v>
      </c>
      <c r="E295" t="s">
        <v>15</v>
      </c>
      <c r="F295" t="s">
        <v>38</v>
      </c>
      <c r="G295">
        <v>5</v>
      </c>
      <c r="H295">
        <v>4364.6899999999996</v>
      </c>
      <c r="I295">
        <v>29</v>
      </c>
      <c r="J295" t="s">
        <v>28</v>
      </c>
      <c r="K295" t="s">
        <v>18</v>
      </c>
      <c r="L295" t="s">
        <v>48</v>
      </c>
    </row>
    <row r="296" spans="1:12" x14ac:dyDescent="0.3">
      <c r="A296">
        <v>1295</v>
      </c>
      <c r="B296" t="s">
        <v>205</v>
      </c>
      <c r="C296" t="s">
        <v>13</v>
      </c>
      <c r="D296" t="s">
        <v>14</v>
      </c>
      <c r="E296" t="s">
        <v>27</v>
      </c>
      <c r="F296" t="s">
        <v>35</v>
      </c>
      <c r="G296">
        <v>8</v>
      </c>
      <c r="H296">
        <v>1571.27</v>
      </c>
      <c r="I296">
        <v>28</v>
      </c>
      <c r="J296" t="s">
        <v>28</v>
      </c>
      <c r="K296" t="s">
        <v>40</v>
      </c>
      <c r="L296" t="s">
        <v>48</v>
      </c>
    </row>
    <row r="297" spans="1:12" x14ac:dyDescent="0.3">
      <c r="A297">
        <v>1296</v>
      </c>
      <c r="B297" t="s">
        <v>231</v>
      </c>
      <c r="C297" t="s">
        <v>65</v>
      </c>
      <c r="D297" t="s">
        <v>47</v>
      </c>
      <c r="E297" t="s">
        <v>27</v>
      </c>
      <c r="F297" t="s">
        <v>62</v>
      </c>
      <c r="G297">
        <v>8</v>
      </c>
      <c r="H297">
        <v>1539.72</v>
      </c>
      <c r="I297">
        <v>2</v>
      </c>
      <c r="J297" t="s">
        <v>17</v>
      </c>
      <c r="K297" t="s">
        <v>18</v>
      </c>
      <c r="L297" t="s">
        <v>48</v>
      </c>
    </row>
    <row r="298" spans="1:12" x14ac:dyDescent="0.3">
      <c r="A298">
        <v>1297</v>
      </c>
      <c r="B298" t="s">
        <v>249</v>
      </c>
      <c r="C298" t="s">
        <v>54</v>
      </c>
      <c r="D298" t="s">
        <v>37</v>
      </c>
      <c r="E298" t="s">
        <v>27</v>
      </c>
      <c r="F298" t="s">
        <v>16</v>
      </c>
      <c r="G298">
        <v>5</v>
      </c>
      <c r="H298">
        <v>1082.46</v>
      </c>
      <c r="I298">
        <v>2</v>
      </c>
      <c r="J298" t="s">
        <v>39</v>
      </c>
      <c r="K298" t="s">
        <v>40</v>
      </c>
      <c r="L298" t="s">
        <v>30</v>
      </c>
    </row>
    <row r="299" spans="1:12" x14ac:dyDescent="0.3">
      <c r="A299">
        <v>1298</v>
      </c>
      <c r="B299" t="s">
        <v>150</v>
      </c>
      <c r="C299" t="s">
        <v>46</v>
      </c>
      <c r="D299" t="s">
        <v>37</v>
      </c>
      <c r="E299" t="s">
        <v>27</v>
      </c>
      <c r="F299" t="s">
        <v>62</v>
      </c>
      <c r="G299">
        <v>10</v>
      </c>
      <c r="H299">
        <v>934.8</v>
      </c>
      <c r="I299">
        <v>10</v>
      </c>
      <c r="J299" t="s">
        <v>24</v>
      </c>
      <c r="K299" t="s">
        <v>18</v>
      </c>
      <c r="L299" t="s">
        <v>30</v>
      </c>
    </row>
    <row r="300" spans="1:12" x14ac:dyDescent="0.3">
      <c r="A300">
        <v>1299</v>
      </c>
      <c r="B300" t="s">
        <v>70</v>
      </c>
      <c r="C300" t="s">
        <v>21</v>
      </c>
      <c r="D300" t="s">
        <v>47</v>
      </c>
      <c r="E300" t="s">
        <v>27</v>
      </c>
      <c r="F300" t="s">
        <v>62</v>
      </c>
      <c r="G300">
        <v>3</v>
      </c>
      <c r="H300">
        <v>1198.68</v>
      </c>
      <c r="I300">
        <v>3</v>
      </c>
      <c r="J300" t="s">
        <v>17</v>
      </c>
      <c r="K300" t="s">
        <v>40</v>
      </c>
      <c r="L300" t="s">
        <v>30</v>
      </c>
    </row>
    <row r="301" spans="1:12" x14ac:dyDescent="0.3">
      <c r="A301">
        <v>1300</v>
      </c>
      <c r="B301" t="s">
        <v>135</v>
      </c>
      <c r="C301" t="s">
        <v>54</v>
      </c>
      <c r="D301" t="s">
        <v>14</v>
      </c>
      <c r="E301" t="s">
        <v>15</v>
      </c>
      <c r="F301" t="s">
        <v>38</v>
      </c>
      <c r="G301">
        <v>3</v>
      </c>
      <c r="H301">
        <v>3469.97</v>
      </c>
      <c r="I301">
        <v>23</v>
      </c>
      <c r="J301" t="s">
        <v>39</v>
      </c>
      <c r="K301" t="s">
        <v>29</v>
      </c>
      <c r="L301"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FinalAmt(Category)</vt:lpstr>
      <vt:lpstr>FinalAmt(City)</vt:lpstr>
      <vt:lpstr>FinalAmt(Salesperson)</vt:lpstr>
      <vt:lpstr>Mode of Payment</vt:lpstr>
      <vt:lpstr>FinalAmt(Month)</vt:lpstr>
      <vt:lpstr>DASHBOARD1</vt:lpstr>
      <vt:lpstr>DASHBOARD2</vt:lpstr>
      <vt:lpstr>Grand Total</vt:lpstr>
      <vt:lpstr>total count</vt:lpstr>
      <vt:lpstr>Avg_price</vt:lpstr>
      <vt:lpstr>clean_data</vt:lpstr>
      <vt:lpstr>Retail_Orders_Dirty(RawData)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Sagar Prabhu</cp:lastModifiedBy>
  <dcterms:created xsi:type="dcterms:W3CDTF">2026-07-30T08:50:56Z</dcterms:created>
  <dcterms:modified xsi:type="dcterms:W3CDTF">2026-08-18T04:56:06Z</dcterms:modified>
</cp:coreProperties>
</file>